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1b37d1759c41bd" /></Relationships>
</file>

<file path=xl/workbook.xml><?xml version="1.0" encoding="utf-8"?>
<x:workbook xmlns:x="http://schemas.openxmlformats.org/spreadsheetml/2006/main">
  <x:sheets>
    <x:sheet xmlns:r="http://schemas.openxmlformats.org/officeDocument/2006/relationships" name="00_README" sheetId="1" r:id="R4a6c317c47b34bda"/>
    <x:sheet xmlns:r="http://schemas.openxmlformats.org/officeDocument/2006/relationships" name="01_CHRONOLOGY" sheetId="2" r:id="Rc177856d68454750"/>
    <x:sheet xmlns:r="http://schemas.openxmlformats.org/officeDocument/2006/relationships" name="02_MATERIALS" sheetId="3" r:id="R6892a7a49a734019"/>
    <x:sheet xmlns:r="http://schemas.openxmlformats.org/officeDocument/2006/relationships" name="03_PROCESS" sheetId="4" r:id="Rd1875d659a984412"/>
    <x:sheet xmlns:r="http://schemas.openxmlformats.org/officeDocument/2006/relationships" name="04_STRUCTURE_RELEASE" sheetId="5" r:id="R5d116d19abec42e2"/>
    <x:sheet xmlns:r="http://schemas.openxmlformats.org/officeDocument/2006/relationships" name="05_SCALE_ENVELOPE" sheetId="6" r:id="R26c8d8e98a584eb6"/>
    <x:sheet xmlns:r="http://schemas.openxmlformats.org/officeDocument/2006/relationships" name="06_LEGACY_REVIEW" sheetId="7" r:id="R4464702a0f4e4f6b"/>
    <x:sheet xmlns:r="http://schemas.openxmlformats.org/officeDocument/2006/relationships" name="07_TEST_GATES" sheetId="8" r:id="R51fb28237e904ac7"/>
    <x:sheet xmlns:r="http://schemas.openxmlformats.org/officeDocument/2006/relationships" name="08_SOURCE_BASIS" sheetId="9" r:id="R4f85e09656b14365"/>
    <x:sheet xmlns:r="http://schemas.openxmlformats.org/officeDocument/2006/relationships" name="09_DASHBOARD" sheetId="10" r:id="R770b163de3724dca"/>
    <x:sheet xmlns:r="http://schemas.openxmlformats.org/officeDocument/2006/relationships" name="10_COST_MODEL" sheetId="11" r:id="R22d4eb5a85f749da"/>
    <x:sheet xmlns:r="http://schemas.openxmlformats.org/officeDocument/2006/relationships" name="11_PRICE_SUMMARY" sheetId="12" r:id="Rf57f7f6a2f174b7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
  </x:numFmts>
  <x:fonts count="7">
    <x:font>
      <x:sz val="11"/>
      <x:name val="Carlito"/>
    </x:font>
    <x:font>
      <x:b/>
      <x:sz val="14"/>
      <x:color rgb="FFFFFFFF"/>
      <x:name val="Carlito"/>
    </x:font>
    <x:font>
      <x:b/>
      <x:sz val="11"/>
      <x:color rgb="FFFFFFFF"/>
      <x:name val="Carlito"/>
    </x:font>
    <x:font>
      <x:b/>
      <x:sz val="10"/>
      <x:color rgb="FFFFFFFF"/>
      <x:name val="Carlito"/>
    </x:font>
    <x:font>
      <x:sz val="10"/>
      <x:name val="Carlito"/>
    </x:font>
    <x:font>
      <x:sz val="11"/>
      <x:color rgb="FF0000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applyAlignment="1">
      <x:alignment vertical="center"/>
    </x:xf>
    <x:xf numFmtId="0" fontId="4" fillId="0" borderId="0" xfId="0" applyNumberFormat="1" applyFont="1" applyFill="1" applyBorder="1"/>
    <x:xf numFmtId="0" fontId="3" fillId="2" borderId="1" xfId="0" applyNumberFormat="1" applyFont="1" applyFill="1" applyBorder="1" applyAlignment="1">
      <x:alignment vertical="center"/>
    </x:xf>
    <x:xf numFmtId="0" fontId="4" fillId="0" borderId="1" xfId="0" applyNumberFormat="1" applyFont="1" applyFill="1" applyBorder="1"/>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vertical="center"/>
    </x:xf>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201" fontId="0" fillId="0" borderId="0" xfId="0" applyNumberFormat="1" applyFont="1" applyFill="1" applyBorder="1"/>
    <x:xf numFmtId="202" fontId="0" fillId="0" borderId="0" xfId="0" applyNumberFormat="1" applyFont="1" applyFill="1" applyBorder="1"/>
    <x:xf numFmtId="201" fontId="5" fillId="0" borderId="0" xfId="0" applyNumberFormat="1" applyFont="1" applyFill="1" applyBorder="1"/>
    <x:xf numFmtId="201" fontId="5"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4" borderId="0" xfId="0" applyNumberFormat="1" applyFont="1" applyFill="1" applyBorder="1"/>
    <x:xf numFmtId="0" fontId="6" fillId="4"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804277634c44cf" /><Relationship Type="http://schemas.openxmlformats.org/officeDocument/2006/relationships/theme" Target="/xl/theme/theme1.xml" Id="Rcea2f61434ed4335" /><Relationship Type="http://schemas.openxmlformats.org/officeDocument/2006/relationships/sharedStrings" Target="/xl/sharedStrings.xml" Id="R3848c6d35f104041" /><Relationship Type="http://schemas.openxmlformats.org/officeDocument/2006/relationships/worksheet" Target="/xl/worksheets/sheet1.xml" Id="R4a6c317c47b34bda" /><Relationship Type="http://schemas.openxmlformats.org/officeDocument/2006/relationships/worksheet" Target="/xl/worksheets/sheet2.xml" Id="Rc177856d68454750" /><Relationship Type="http://schemas.openxmlformats.org/officeDocument/2006/relationships/worksheet" Target="/xl/worksheets/sheet3.xml" Id="R6892a7a49a734019" /><Relationship Type="http://schemas.openxmlformats.org/officeDocument/2006/relationships/worksheet" Target="/xl/worksheets/sheet4.xml" Id="Rd1875d659a984412" /><Relationship Type="http://schemas.openxmlformats.org/officeDocument/2006/relationships/worksheet" Target="/xl/worksheets/sheet5.xml" Id="R5d116d19abec42e2" /><Relationship Type="http://schemas.openxmlformats.org/officeDocument/2006/relationships/worksheet" Target="/xl/worksheets/sheet6.xml" Id="R26c8d8e98a584eb6" /><Relationship Type="http://schemas.openxmlformats.org/officeDocument/2006/relationships/worksheet" Target="/xl/worksheets/sheet7.xml" Id="R4464702a0f4e4f6b" /><Relationship Type="http://schemas.openxmlformats.org/officeDocument/2006/relationships/worksheet" Target="/xl/worksheets/sheet8.xml" Id="R51fb28237e904ac7" /><Relationship Type="http://schemas.openxmlformats.org/officeDocument/2006/relationships/worksheet" Target="/xl/worksheets/sheet9.xml" Id="R4f85e09656b14365" /><Relationship Type="http://schemas.openxmlformats.org/officeDocument/2006/relationships/worksheet" Target="/xl/worksheets/sheet10.xml" Id="R770b163de3724dca" /><Relationship Type="http://schemas.openxmlformats.org/officeDocument/2006/relationships/worksheet" Target="/xl/worksheets/sheet11.xml" Id="R22d4eb5a85f749da" /><Relationship Type="http://schemas.openxmlformats.org/officeDocument/2006/relationships/worksheet" Target="/xl/worksheets/sheet12.xml" Id="Rf57f7f6a2f174b7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 hidden="0" customWidth="1"/>
    <x:col min="2" max="2" width="28" hidden="0" customWidth="1"/>
    <x:col min="3" max="3" width="40" hidden="0" customWidth="1"/>
    <x:col min="4" max="4" width="42" hidden="0" customWidth="1"/>
    <x:col min="5" max="5" width="42" hidden="0" customWidth="1"/>
    <x:col min="6" max="6" width="28" hidden="0" customWidth="1"/>
    <x:col min="7" max="7" width="38" hidden="0" customWidth="1"/>
    <x:col min="8" max="8" width="18" hidden="0" customWidth="1"/>
  </x:cols>
  <x:sheetData>
    <x:row r="1" ht="26" customHeight="1">
      <x:c r="A1" s="20" t="str">
        <x:v>浅井 エポキシ・FRP・接着構造 技術能力台帳 V2-COST</x:v>
      </x:c>
      <x:c r="B1" s="20"/>
      <x:c r="C1" s="20"/>
      <x:c r="D1" s="20"/>
      <x:c r="E1" s="20"/>
      <x:c r="F1" s="20"/>
      <x:c r="G1" s="20"/>
      <x:c r="H1" s="20"/>
      <x:c r="I1" s="21"/>
      <x:c r="J1" s="21"/>
      <x:c r="K1" s="21"/>
      <x:c r="L1" s="21"/>
      <x:c r="M1" s="21"/>
      <x:c r="N1" s="21"/>
      <x:c r="O1" s="21"/>
      <x:c r="P1" s="21"/>
      <x:c r="Q1" s="21"/>
      <x:c r="R1" s="21"/>
      <x:c r="S1" s="21"/>
      <x:c r="T1" s="21"/>
      <x:c r="U1" s="21"/>
      <x:c r="V1" s="21"/>
      <x:c r="W1" s="21"/>
      <x:c r="X1" s="21"/>
      <x:c r="Y1" s="21"/>
      <x:c r="Z1" s="21"/>
    </x:row>
    <x:row r="3">
      <x:c r="A3" s="11" t="str">
        <x:v>Purpose</x:v>
      </x:c>
      <x:c r="B3" s="11" t="str">
        <x:v>Scope</x:v>
      </x:c>
      <x:c r="C3" s="11" t="str">
        <x:v>Key distinction</x:v>
      </x:c>
      <x:c r="D3" s="11" t="str">
        <x:v>Use rule</x:v>
      </x:c>
      <x:c r="E3" s="11" t="str">
        <x:v>E5-era headline</x:v>
      </x:c>
      <x:c r="F3" s="11" t="str">
        <x:v>Glass-fiber gate</x:v>
      </x:c>
      <x:c r="G3" s="11" t="str">
        <x:v>Primary-structure rule</x:v>
      </x:c>
      <x:c r="H3" s="11" t="str">
        <x:v>Status</x:v>
      </x:c>
    </x:row>
    <x:row r="4">
      <x:c r="A4" s="16" t="str">
        <x:v>航空機案を先に決めず、材料・工程・構造の能力包絡から実証機/商品を取り出す</x:v>
      </x:c>
      <x:c r="B4" s="16" t="str">
        <x:v>1930–43中心。樹脂、繊維、接着、サンドイッチ、金属接着、成形、検査、飛行構造</x:v>
      </x:c>
      <x:c r="C4" s="16" t="str">
        <x:v>FRP=繊維強化樹脂。1930年代半ばの主役は麻/亜麻FRPで、GFRPとは別</x:v>
      </x:c>
      <x:c r="D4" s="16" t="str">
        <x:v>『作れる』『飛行実証できる』『限定採用』『一次構造へ解放』を分離</x:v>
      </x:c>
      <x:c r="E4" s="16" t="str">
        <x:v>E5期には epoxy bonding + plant-FRP + paper-honeycomb + bonded hybrid が本命</x:v>
      </x:c>
      <x:c r="F4" s="16" t="str">
        <x:v>連続ガラスは1938頃。濡れ強度のある構造GFRPは1941–43 gate</x:v>
      </x:c>
      <x:c r="G4" s="16" t="str">
        <x:v>桁・主荷重経路はapplication-specific qualificationなしに置換しない</x:v>
      </x:c>
      <x:c r="H4" s="16" t="str">
        <x:v>CURRENT REBASELINE</x:v>
      </x:c>
    </x:row>
    <x:row r="5">
      <x:c r="A5" s="16" t="str">
        <x:v>浅井の介入方式</x:v>
      </x:c>
      <x:c r="B5" s="16" t="str">
        <x:v>K1 broad / I2 spec-pull</x:v>
      </x:c>
      <x:c r="C5" s="16" t="str">
        <x:v>欲しい特性・用途・失敗項目を定義し専門家に閉じさせる</x:v>
      </x:c>
      <x:c r="D5" s="16" t="str">
        <x:v>化学反応条件を主人公が万能に知っている扱いにしない</x:v>
      </x:c>
      <x:c r="E5" s="16" t="str">
        <x:v>湿熱・剥離・疲労・工程再現性を最初から試す</x:v>
      </x:c>
      <x:c r="F5" s="16" t="str"/>
      <x:c r="G5" s="16" t="str"/>
      <x:c r="H5" s="16" t="str">
        <x:v>FIXED METHOD</x:v>
      </x:c>
    </x:row>
    <x:row r="6">
      <x:c r="A6" s="16" t="str">
        <x:v>大型化の考え方</x:v>
      </x:c>
      <x:c r="B6" s="16" t="str">
        <x:v>小型部品→大物二次構造→全寸供試体→飛行実証</x:v>
      </x:c>
      <x:c r="C6" s="16" t="str">
        <x:v>低圧硬化epoxyは高圧phenolic pressの寸法制限を外す</x:v>
      </x:c>
      <x:c r="D6" s="16" t="str">
        <x:v>大型ほど面積・部品点数・金属工数代替の利得が大きい</x:v>
      </x:c>
      <x:c r="E6" s="16" t="str">
        <x:v>大型高速機は能力ドリブン候補。ただし主構造は段階解放</x:v>
      </x:c>
      <x:c r="F6" s="16" t="str"/>
      <x:c r="G6" s="16" t="str"/>
      <x:c r="H6" s="16" t="str">
        <x:v>DERIVED</x:v>
      </x:c>
    </x:row>
    <x:row r="7">
      <x:c r="A7" s="16" t="str">
        <x:v>重量利得</x:v>
      </x:c>
      <x:c r="B7" s="16" t="str">
        <x:v>小型機では一桁%が基本</x:v>
      </x:c>
      <x:c r="C7" s="16" t="str">
        <x:v>サンドイッチ等剛性の局部利得は大きくても機体全体へそのまま落ちない</x:v>
      </x:c>
      <x:c r="D7" s="16" t="str">
        <x:v>工数、耐食、面精度、部品点数、戦略金属節約も価値に含める</x:v>
      </x:c>
      <x:c r="E7" s="16" t="str"/>
      <x:c r="F7" s="16" t="str"/>
      <x:c r="G7" s="16" t="str"/>
      <x:c r="H7" s="16" t="str">
        <x:v>KEEP</x:v>
      </x:c>
    </x:row>
    <x:row r="8">
      <x:c r="A8" s="16" t="str">
        <x:v>旧材系の扱い</x:v>
      </x:c>
      <x:c r="B8" s="16" t="str">
        <x:v>材一号・材二号の『実績発動機×新構体』という実験思想はKEEP</x:v>
      </x:c>
      <x:c r="C8" s="16" t="str">
        <x:v>1938–40の旧年次は再審査。E5期に前段飛行実証を置ける余地あり</x:v>
      </x:c>
      <x:c r="D8" s="16" t="str">
        <x:v>真GFRP/CFRPの年代だけは前倒ししない</x:v>
      </x:c>
      <x:c r="E8" s="16" t="str"/>
      <x:c r="F8" s="16" t="str"/>
      <x:c r="G8" s="16" t="str"/>
      <x:c r="H8" s="16" t="str">
        <x:v>REWORK</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2" hidden="0" customWidth="1"/>
    <x:col min="3" max="3" width="30" hidden="0" customWidth="1"/>
    <x:col min="4" max="4" width="28" hidden="0" customWidth="1"/>
    <x:col min="5" max="5" width="30" hidden="0" customWidth="1"/>
    <x:col min="6" max="6" width="30" hidden="0" customWidth="1"/>
    <x:col min="7" max="7" width="34" hidden="0" customWidth="1"/>
    <x:col min="8" max="8" width="30" hidden="0" customWidth="1"/>
    <x:col min="9" max="9" width="34" hidden="0" customWidth="1"/>
    <x:col min="10" max="10" width="48" hidden="0" customWidth="1"/>
    <x:col min="11" max="11" width="42" hidden="0" customWidth="1"/>
    <x:col min="12" max="12" width="16" hidden="0" customWidth="1"/>
    <x:col min="13" max="13" width="40" hidden="0" customWidth="1"/>
  </x:cols>
  <x:sheetData>
    <x:row r="1" ht="26" customHeight="1">
      <x:c r="A1" s="20" t="str">
        <x:v>材料・工程技術クロック — 何が『使える』かを年次で分離</x:v>
      </x:c>
      <x:c r="B1" s="20"/>
      <x:c r="C1" s="20"/>
      <x:c r="D1" s="20"/>
      <x:c r="E1" s="20"/>
      <x:c r="F1" s="20"/>
      <x:c r="G1" s="20"/>
      <x:c r="H1" s="20"/>
      <x:c r="I1" s="20"/>
      <x:c r="J1" s="20"/>
      <x:c r="K1" s="20"/>
      <x:c r="L1" s="20"/>
      <x:c r="M1" s="20"/>
      <x:c r="N1" s="21"/>
      <x:c r="O1" s="21"/>
      <x:c r="P1" s="21"/>
      <x:c r="Q1" s="21"/>
      <x:c r="R1" s="21"/>
      <x:c r="S1" s="21"/>
      <x:c r="T1" s="21"/>
      <x:c r="U1" s="21"/>
      <x:c r="V1" s="21"/>
      <x:c r="W1" s="21"/>
      <x:c r="X1" s="21"/>
      <x:c r="Y1" s="21"/>
      <x:c r="Z1" s="21"/>
    </x:row>
    <x:row r="3">
      <x:c r="A3" s="11" t="str">
        <x:v>Window</x:v>
      </x:c>
      <x:c r="B3" s="11" t="str">
        <x:v>Resin/adhesive</x:v>
      </x:c>
      <x:c r="C3" s="11" t="str">
        <x:v>Reinforcement</x:v>
      </x:c>
      <x:c r="D3" s="11" t="str">
        <x:v>Core/sandwich</x:v>
      </x:c>
      <x:c r="E3" s="11" t="str">
        <x:v>Metal bonding</x:v>
      </x:c>
      <x:c r="F3" s="11" t="str">
        <x:v>Large molding</x:v>
      </x:c>
      <x:c r="G3" s="11" t="str">
        <x:v>Inspection/QC</x:v>
      </x:c>
      <x:c r="H3" s="11" t="str">
        <x:v>Environment proof</x:v>
      </x:c>
      <x:c r="I3" s="11" t="str">
        <x:v>Flight release</x:v>
      </x:c>
      <x:c r="J3" s="11" t="str">
        <x:v>Large-aircraft implication</x:v>
      </x:c>
      <x:c r="K3" s="11" t="str">
        <x:v>Military/product implication</x:v>
      </x:c>
      <x:c r="L3" s="11" t="str">
        <x:v>Confidence</x:v>
      </x:c>
      <x:c r="M3" s="11" t="str">
        <x:v>Gate / next evidence</x:v>
      </x:c>
    </x:row>
    <x:row r="4">
      <x:c r="A4" s="16" t="str">
        <x:v>1920s</x:v>
      </x:c>
      <x:c r="B4" s="16" t="str">
        <x:v>phenolic, casein, alkyd, urea-family pursuit</x:v>
      </x:c>
      <x:c r="C4" s="16" t="str">
        <x:v>cotton/hemp cloth; reinforced wood</x:v>
      </x:c>
      <x:c r="D4" s="16" t="str">
        <x:v>plywood/wood cores</x:v>
      </x:c>
      <x:c r="E4" s="16" t="str">
        <x:v>mechanical fasteners dominate</x:v>
      </x:c>
      <x:c r="F4" s="16" t="str">
        <x:v>pressed laminates limited by press size</x:v>
      </x:c>
      <x:c r="G4" s="16" t="str">
        <x:v>coupon strength / shop inspection</x:v>
      </x:c>
      <x:c r="H4" s="16" t="str">
        <x:v>wood/phenolic service experience</x:v>
      </x:c>
      <x:c r="I4" s="16" t="str">
        <x:v>secondary noncritical only</x:v>
      </x:c>
      <x:c r="J4" s="16" t="str">
        <x:v>reinforced wood, laminated fabric gears/bearings, tooling</x:v>
      </x:c>
      <x:c r="K4" s="16" t="str">
        <x:v>industrial cash uses; no composite-airframe claim</x:v>
      </x:c>
      <x:c r="L4" s="16" t="str">
        <x:v>HIGH</x:v>
      </x:c>
      <x:c r="M4" s="16" t="str">
        <x:v>epoxy not yet</x:v>
      </x:c>
    </x:row>
    <x:row r="5">
      <x:c r="A5" s="16" t="str">
        <x:v>1931–33</x:v>
      </x:c>
      <x:c r="B5" s="16" t="str">
        <x:v>Asai internal BPA-epichlorohydrin epoxy synthesis; amine-cure casting/bonding begins</x:v>
      </x:c>
      <x:c r="C5" s="16" t="str">
        <x:v>hemp/flax fabric and roving available</x:v>
      </x:c>
      <x:c r="D5" s="16" t="str">
        <x:v>paper/wood sandwich concepts can be explored</x:v>
      </x:c>
      <x:c r="E5" s="16" t="str">
        <x:v>aluminum pretreatment/anodizing exists; epoxy bond coupons start</x:v>
      </x:c>
      <x:c r="F5" s="16" t="str">
        <x:v>low-pressure/ambient epoxy removes press-size ceiling for bonded/molded parts</x:v>
      </x:c>
      <x:c r="G5" s="16" t="str">
        <x:v>surface prep + cure-temperature records + witness coupons</x:v>
      </x:c>
      <x:c r="H5" s="16" t="str">
        <x:v>humidity/oil/fuel/heat screening starts</x:v>
      </x:c>
      <x:c r="I5" s="16" t="str">
        <x:v>no broad flight structure release</x:v>
      </x:c>
      <x:c r="J5" s="16" t="str">
        <x:v>full-size bonded panels and fuselage/wing-box ground articles become conceivable</x:v>
      </x:c>
      <x:c r="K5" s="16" t="str">
        <x:v>electrical potting, tooling, sealing, repair first</x:v>
      </x:c>
      <x:c r="L5" s="16" t="str">
        <x:v>MEDIUM-HIGH</x:v>
      </x:c>
      <x:c r="M5" s="16" t="str">
        <x:v>repeatable resin + cure + surface prep</x:v>
      </x:c>
    </x:row>
    <x:row r="6">
      <x:c r="A6" s="16" t="str">
        <x:v>1934–35</x:v>
      </x:c>
      <x:c r="B6" s="16" t="str">
        <x:v>small practical epoxy adhesive/sealing product line</x:v>
      </x:c>
      <x:c r="C6" s="16" t="str">
        <x:v>plant-fiber FRP practical for molded secondary parts</x:v>
      </x:c>
      <x:c r="D6" s="16" t="str">
        <x:v>phenolic-paper honeycomb / light wood core development</x:v>
      </x:c>
      <x:c r="E6" s="16" t="str">
        <x:v>bonded aluminum/steel doublers, mixed wood-metal joints</x:v>
      </x:c>
      <x:c r="F6" s="16" t="str">
        <x:v>large fairing/duct/tank/panel contact molding feasible</x:v>
      </x:c>
      <x:c r="G6" s="16" t="str">
        <x:v>process charts, batch coupons, peel/shear fixtures</x:v>
      </x:c>
      <x:c r="H6" s="16" t="str">
        <x:v>warm-wet exposure, kerosene/oil compatibility, creep</x:v>
      </x:c>
      <x:c r="I6" s="16" t="str">
        <x:v>secondary flight parts; bonded repair; limited sandwich panels</x:v>
      </x:c>
      <x:c r="J6" s="16" t="str">
        <x:v>large-aircraft secondary structure can already save metal labor and smooth surfaces</x:v>
      </x:c>
      <x:c r="K6" s="16" t="str">
        <x:v>military can order material evaluation; not yet primary structure</x:v>
      </x:c>
      <x:c r="L6" s="16" t="str">
        <x:v>MEDIUM-HIGH</x:v>
      </x:c>
      <x:c r="M6" s="16" t="str">
        <x:v>wet/peel/fatigue + full-scale panel load</x:v>
      </x:c>
    </x:row>
    <x:row r="7">
      <x:c r="A7" s="16" t="str">
        <x:v>1935–36</x:v>
      </x:c>
      <x:c r="B7" s="16" t="str">
        <x:v>epoxy formulations mature by use-case; fillers/potting/edge closeouts</x:v>
      </x:c>
      <x:c r="C7" s="16" t="str">
        <x:v>hemp/flax epoxy skins; reinforced wood hybrids</x:v>
      </x:c>
      <x:c r="D7" s="16" t="str">
        <x:v>paper honeycomb sandwich full-size panels</x:v>
      </x:c>
      <x:c r="E7" s="16" t="str">
        <x:v>bonded metal skin/stringer and metal-to-wood demonstrators</x:v>
      </x:c>
      <x:c r="F7" s="16" t="str">
        <x:v>meter-class / multi-meter panels, tanks, fairings, doors</x:v>
      </x:c>
      <x:c r="G7" s="16" t="str">
        <x:v>destructive sampling, process-capability charts</x:v>
      </x:c>
      <x:c r="H7" s="16" t="str">
        <x:v>months-scale humidity/heat/fuel exposure</x:v>
      </x:c>
      <x:c r="I7" s="16" t="str">
        <x:v>semi-structural doors/floors/control surfaces; experimental fuselage shell zones</x:v>
      </x:c>
      <x:c r="J7" s="16" t="str">
        <x:v>10–20 t transport/high-speed airframe can use bonded secondary/semi-structural structure without all-new primary loads</x:v>
      </x:c>
      <x:c r="K7" s="16" t="str">
        <x:v>first '材' ground articles; flight demonstrator design can start</x:v>
      </x:c>
      <x:c r="L7" s="16" t="str">
        <x:v>MEDIUM</x:v>
      </x:c>
      <x:c r="M7" s="16" t="str">
        <x:v>full fuselage/wing ground proof + repair standard</x:v>
      </x:c>
    </x:row>
    <x:row r="8">
      <x:c r="A8" s="16" t="str">
        <x:v>1936–38</x:v>
      </x:c>
      <x:c r="B8" s="16" t="str">
        <x:v>bonding process increasingly industrial; cure fixtures and repair manuals</x:v>
      </x:c>
      <x:c r="C8" s="16" t="str">
        <x:v>plant-FRP remains structural demonstrator material</x:v>
      </x:c>
      <x:c r="D8" s="16" t="str">
        <x:v>paper honeycomb/sandwich practical; local foam/filler use</x:v>
      </x:c>
      <x:c r="E8" s="16" t="str">
        <x:v>bonded hybrid airframe joints mature</x:v>
      </x:c>
      <x:c r="F8" s="16" t="str">
        <x:v>full fuselage shells / large wing panels possible at prototype scale</x:v>
      </x:c>
      <x:c r="G8" s="16" t="str">
        <x:v>fatigue rigs + vibration + flight witness coupons</x:v>
      </x:c>
      <x:c r="H8" s="16" t="str">
        <x:v>1–2 year exposure data begins to exist</x:v>
      </x:c>
      <x:c r="I8" s="16" t="str">
        <x:v>experimental bonded/sandwich airframe flight; primary spar stays wood/metal</x:v>
      </x:c>
      <x:c r="J8" s="16" t="str">
        <x:v>large relatively fast demonstrator becomes technically meaningful: structural weight/drag/labor measured at scale</x:v>
      </x:c>
      <x:c r="K8" s="16" t="str">
        <x:v>military sees process value; orders still component/application-specific</x:v>
      </x:c>
      <x:c r="L8" s="16" t="str">
        <x:v>MEDIUM-HIGH</x:v>
      </x:c>
      <x:c r="M8" s="16" t="str">
        <x:v>flight hours + wet fatigue + joint inspection</x:v>
      </x:c>
    </x:row>
    <x:row r="9">
      <x:c r="A9" s="16" t="str">
        <x:v>1938–39</x:v>
      </x:c>
      <x:c r="B9" s="16" t="str">
        <x:v>epoxy mature small-series high-value process</x:v>
      </x:c>
      <x:c r="C9" s="16" t="str">
        <x:v>continuous glass fiber appears small-scale; glass wool already earlier</x:v>
      </x:c>
      <x:c r="D9" s="16" t="str">
        <x:v>glass cloth/laminate coupons; plant-fiber sandwich continues</x:v>
      </x:c>
      <x:c r="E9" s="16" t="str">
        <x:v>glass isolation layers help metal/composite interfaces later</x:v>
      </x:c>
      <x:c r="F9" s="16" t="str">
        <x:v>GFRP molded secondary parts begin</x:v>
      </x:c>
      <x:c r="G9" s="16" t="str">
        <x:v>glass wet-strength/coupling experiments</x:v>
      </x:c>
      <x:c r="H9" s="16" t="str">
        <x:v>salt/wet exposure; coupling chemistry immature/expensive</x:v>
      </x:c>
      <x:c r="I9" s="16" t="str">
        <x:v>GFRP mostly electrical/secondary; not broad structural airframe</x:v>
      </x:c>
      <x:c r="J9" s="16" t="str">
        <x:v>large GFRP radomes/covers/tanks can begin; large primary structure remains premature</x:v>
      </x:c>
      <x:c r="K9" s="16" t="str">
        <x:v>separate molding labor starts to relieve sheet-metal shops</x:v>
      </x:c>
      <x:c r="L9" s="16" t="str">
        <x:v>HIGH</x:v>
      </x:c>
      <x:c r="M9" s="16" t="str">
        <x:v>coupling + wet strength + repeatability</x:v>
      </x:c>
    </x:row>
    <x:row r="10">
      <x:c r="A10" s="16" t="str">
        <x:v>1939–41</x:v>
      </x:c>
      <x:c r="B10" s="16" t="str">
        <x:v>bonding/epoxy small-series process branch</x:v>
      </x:c>
      <x:c r="C10" s="16" t="str">
        <x:v>continuous glass supply grows; expensive coupling treatments</x:v>
      </x:c>
      <x:c r="D10" s="16" t="str">
        <x:v>GFRP sandwich secondary/semi-structural demos</x:v>
      </x:c>
      <x:c r="E10" s="16" t="str">
        <x:v>bonded metal structure increasingly credible by specific joint</x:v>
      </x:c>
      <x:c r="F10" s="16" t="str">
        <x:v>large secondary GFRP shells/panels feasible</x:v>
      </x:c>
      <x:c r="G10" s="16" t="str">
        <x:v>humidity, peel, fatigue, NDI limitations explicitly managed</x:v>
      </x:c>
      <x:c r="H10" s="16" t="str">
        <x:v>multi-season service data</x:v>
      </x:c>
      <x:c r="I10" s="16" t="str">
        <x:v>selected semi-structural GFRP; bonded primary joints only by specific proof</x:v>
      </x:c>
      <x:c r="J10" s="16" t="str">
        <x:v>big aircraft gains mostly from bonded metal/wood + sandwich + nonmetal secondary parts, not all-GFRP</x:v>
      </x:c>
      <x:c r="K10" s="16" t="str">
        <x:v>meaningful labor/material substitution by 1941</x:v>
      </x:c>
      <x:c r="L10" s="16" t="str">
        <x:v>HIGH</x:v>
      </x:c>
      <x:c r="M10" s="16" t="str">
        <x:v>primary-load coupon/full-scale proof</x:v>
      </x:c>
    </x:row>
    <x:row r="11">
      <x:c r="A11" s="16" t="str">
        <x:v>1941–43</x:v>
      </x:c>
      <x:c r="B11" s="16" t="str">
        <x:v>epoxy/bonding mature high-value process</x:v>
      </x:c>
      <x:c r="C11" s="16" t="str">
        <x:v>wet-strength structural GFRP gate opens by selected application</x:v>
      </x:c>
      <x:c r="D11" s="16" t="str">
        <x:v>paper/honeycomb + GFRP/metal skins</x:v>
      </x:c>
      <x:c r="E11" s="16" t="str">
        <x:v>specific primary bonded joints can qualify</x:v>
      </x:c>
      <x:c r="F11" s="16" t="str">
        <x:v>large low-pressure GFRP fabrication</x:v>
      </x:c>
      <x:c r="G11" s="16" t="str">
        <x:v>structural allowables by process family begin</x:v>
      </x:c>
      <x:c r="H11" s="16" t="str">
        <x:v>wet/fatigue database becomes usable</x:v>
      </x:c>
      <x:c r="I11" s="16" t="str">
        <x:v>selected primary GFRP structures possible; broad all-GFRP aircraft still no</x:v>
      </x:c>
      <x:c r="J11" s="16" t="str">
        <x:v>large aircraft can choose GFRP where it wins and retain metal for concentrated loads</x:v>
      </x:c>
      <x:c r="K11" s="16" t="str">
        <x:v>limited serial structural applications possible</x:v>
      </x:c>
      <x:c r="L11" s="16" t="str">
        <x:v>MEDIUM-HIGH</x:v>
      </x:c>
      <x:c r="M11" s="16" t="str">
        <x:v>part-specific release, not blanket permission</x:v>
      </x:c>
    </x:row>
  </x:sheetData>
  <x:mergeCells>
    <x:mergeCell ref="A1:M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0" hidden="0" customWidth="1"/>
    <x:col min="3" max="3" width="20" hidden="0" customWidth="1"/>
    <x:col min="4" max="4" width="34" hidden="0" customWidth="1"/>
    <x:col min="5" max="5" width="24" hidden="0" customWidth="1"/>
    <x:col min="6" max="6" width="24" hidden="0" customWidth="1"/>
    <x:col min="7" max="7" width="28" hidden="0" customWidth="1"/>
    <x:col min="8" max="8" width="18" hidden="0" customWidth="1"/>
    <x:col min="9" max="9" width="30" hidden="0" customWidth="1"/>
    <x:col min="10" max="10" width="42" hidden="0" customWidth="1"/>
    <x:col min="11" max="11" width="42" hidden="0" customWidth="1"/>
    <x:col min="12" max="12" width="20" hidden="0" customWidth="1"/>
  </x:cols>
  <x:sheetData>
    <x:row r="1" ht="26" customHeight="1">
      <x:c r="A1" s="20" t="str">
        <x:v>材料ファミリ — 1930年代に実際に使える補強材と樹脂</x:v>
      </x:c>
      <x:c r="B1" s="20"/>
      <x:c r="C1" s="20"/>
      <x:c r="D1" s="20"/>
      <x:c r="E1" s="20"/>
      <x:c r="F1" s="20"/>
      <x:c r="G1" s="20"/>
      <x:c r="H1" s="20"/>
      <x:c r="I1" s="20"/>
      <x:c r="J1" s="20"/>
      <x:c r="K1" s="20"/>
      <x:c r="L1" s="20"/>
      <x:c r="M1" s="21"/>
      <x:c r="N1" s="21"/>
      <x:c r="O1" s="21"/>
      <x:c r="P1" s="21"/>
      <x:c r="Q1" s="21"/>
      <x:c r="R1" s="21"/>
      <x:c r="S1" s="21"/>
      <x:c r="T1" s="21"/>
      <x:c r="U1" s="21"/>
      <x:c r="V1" s="21"/>
      <x:c r="W1" s="21"/>
      <x:c r="X1" s="21"/>
      <x:c r="Y1" s="21"/>
      <x:c r="Z1" s="21"/>
    </x:row>
    <x:row r="3">
      <x:c r="A3" s="11" t="str">
        <x:v>Material</x:v>
      </x:c>
      <x:c r="B3" s="11" t="str">
        <x:v>Earliest useful window</x:v>
      </x:c>
      <x:c r="C3" s="11" t="str">
        <x:v>Matrix</x:v>
      </x:c>
      <x:c r="D3" s="11" t="str">
        <x:v>Representative role</x:v>
      </x:c>
      <x:c r="E3" s="11" t="str">
        <x:v>Specific stiffness</x:v>
      </x:c>
      <x:c r="F3" s="11" t="str">
        <x:v>Specific strength</x:v>
      </x:c>
      <x:c r="G3" s="11" t="str">
        <x:v>Moisture risk</x:v>
      </x:c>
      <x:c r="H3" s="11" t="str">
        <x:v>Heat limit</x:v>
      </x:c>
      <x:c r="I3" s="11" t="str">
        <x:v>Supply/scale</x:v>
      </x:c>
      <x:c r="J3" s="11" t="str">
        <x:v>Best use</x:v>
      </x:c>
      <x:c r="K3" s="11" t="str">
        <x:v>Do not use for</x:v>
      </x:c>
      <x:c r="L3" s="11" t="str">
        <x:v>Status</x:v>
      </x:c>
    </x:row>
    <x:row r="4">
      <x:c r="A4" s="16" t="str">
        <x:v>Cotton/hemp fabric laminate</x:v>
      </x:c>
      <x:c r="B4" s="16" t="str">
        <x:v>1920s</x:v>
      </x:c>
      <x:c r="C4" s="16" t="str">
        <x:v>phenolic</x:v>
      </x:c>
      <x:c r="D4" s="16" t="str">
        <x:v>gears, bearings, electrical boards, molded hardware</x:v>
      </x:c>
      <x:c r="E4" s="16" t="str">
        <x:v>medium</x:v>
      </x:c>
      <x:c r="F4" s="16" t="str">
        <x:v>low-medium</x:v>
      </x:c>
      <x:c r="G4" s="16" t="str">
        <x:v>medium</x:v>
      </x:c>
      <x:c r="H4" s="16" t="str">
        <x:v>moderate</x:v>
      </x:c>
      <x:c r="I4" s="16" t="str">
        <x:v>good domestic</x:v>
      </x:c>
      <x:c r="J4" s="16" t="str">
        <x:v>quiet gears, water-lubricated bearings, panels</x:v>
      </x:c>
      <x:c r="K4" s="16" t="str">
        <x:v>high-load aircraft primary structure</x:v>
      </x:c>
      <x:c r="L4" s="16" t="str">
        <x:v>HISTORICAL/KEEP</x:v>
      </x:c>
    </x:row>
    <x:row r="5">
      <x:c r="A5" s="16" t="str">
        <x:v>Flax/hemp FRP</x:v>
      </x:c>
      <x:c r="B5" s="16" t="str">
        <x:v>1934–35 practical</x:v>
      </x:c>
      <x:c r="C5" s="16" t="str">
        <x:v>phenolic → epoxy</x:v>
      </x:c>
      <x:c r="D5" s="16" t="str">
        <x:v>secondary/semi-structural skins, tanks, fairings</x:v>
      </x:c>
      <x:c r="E5" s="16" t="str">
        <x:v>GFRP-like stiffness in bending skins</x:v>
      </x:c>
      <x:c r="F5" s="16" t="str">
        <x:v>well below GFRP strength</x:v>
      </x:c>
      <x:c r="G5" s="16" t="str">
        <x:v>HIGH: absorption/swelling/biological attack</x:v>
      </x:c>
      <x:c r="H5" s="16" t="str">
        <x:v>~60–90°C working depending resin</x:v>
      </x:c>
      <x:c r="I5" s="16" t="str">
        <x:v>good domestic fiber; resin limited</x:v>
      </x:c>
      <x:c r="J5" s="16" t="str">
        <x:v>large low-pressure panels, sandwich skins, non-wet secondary structure</x:v>
      </x:c>
      <x:c r="K5" s="16" t="str">
        <x:v>wet primary hull/wing spar/main load path</x:v>
      </x:c>
      <x:c r="L5" s="16" t="str">
        <x:v>WORLDLINE-PROBABLE</x:v>
      </x:c>
    </x:row>
    <x:row r="6">
      <x:c r="A6" s="16" t="str">
        <x:v>Reinforced wood / plywood</x:v>
      </x:c>
      <x:c r="B6" s="16" t="str">
        <x:v>1920s–30s</x:v>
      </x:c>
      <x:c r="C6" s="16" t="str">
        <x:v>phenolic/epoxy bond</x:v>
      </x:c>
      <x:c r="D6" s="16" t="str">
        <x:v>spar, shell, propeller, hybrid structure</x:v>
      </x:c>
      <x:c r="E6" s="16" t="str">
        <x:v>medium</x:v>
      </x:c>
      <x:c r="F6" s="16" t="str">
        <x:v>medium</x:v>
      </x:c>
      <x:c r="G6" s="16" t="str">
        <x:v>moisture manageable with process</x:v>
      </x:c>
      <x:c r="H6" s="16" t="str">
        <x:v>moderate</x:v>
      </x:c>
      <x:c r="I6" s="16" t="str">
        <x:v>good</x:v>
      </x:c>
      <x:c r="J6" s="16" t="str">
        <x:v>primary load path while resin structures mature</x:v>
      </x:c>
      <x:c r="K6" s="16" t="str">
        <x:v>hot zones / poor process shops</x:v>
      </x:c>
      <x:c r="L6" s="16" t="str">
        <x:v>HISTORICAL/KEEP</x:v>
      </x:c>
    </x:row>
    <x:row r="7">
      <x:c r="A7" s="16" t="str">
        <x:v>Paper honeycomb</x:v>
      </x:c>
      <x:c r="B7" s="16" t="str">
        <x:v>1934–38 development</x:v>
      </x:c>
      <x:c r="C7" s="16" t="str">
        <x:v>phenolic paper + epoxy bond</x:v>
      </x:c>
      <x:c r="D7" s="16" t="str">
        <x:v>sandwich core</x:v>
      </x:c>
      <x:c r="E7" s="16" t="str">
        <x:v>very high panel bending efficiency</x:v>
      </x:c>
      <x:c r="F7" s="16" t="str">
        <x:v>core shear limited</x:v>
      </x:c>
      <x:c r="G7" s="16" t="str">
        <x:v>HIGH unless sealed</x:v>
      </x:c>
      <x:c r="H7" s="16" t="str">
        <x:v>moderate</x:v>
      </x:c>
      <x:c r="I7" s="16" t="str">
        <x:v>paper abundant; process new</x:v>
      </x:c>
      <x:c r="J7" s="16" t="str">
        <x:v>floors, bulkheads, doors, shell panels</x:v>
      </x:c>
      <x:c r="K7" s="16" t="str">
        <x:v>unsealed wet zones / concentrated hard points without inserts</x:v>
      </x:c>
      <x:c r="L7" s="16" t="str">
        <x:v>DERIVED-WORKING</x:v>
      </x:c>
    </x:row>
    <x:row r="8">
      <x:c r="A8" s="16" t="str">
        <x:v>Continuous glass fiber</x:v>
      </x:c>
      <x:c r="B8" s="16" t="str">
        <x:v>1938 onward</x:v>
      </x:c>
      <x:c r="C8" s="16" t="str">
        <x:v>phenolic/epoxy</x:v>
      </x:c>
      <x:c r="D8" s="16" t="str">
        <x:v>electrical → secondary → structural</x:v>
      </x:c>
      <x:c r="E8" s="16" t="str">
        <x:v>high</x:v>
      </x:c>
      <x:c r="F8" s="16" t="str">
        <x:v>high</x:v>
      </x:c>
      <x:c r="G8" s="16" t="str">
        <x:v>interface wet strength is gate</x:v>
      </x:c>
      <x:c r="H8" s="16" t="str">
        <x:v>good relative to plant fiber</x:v>
      </x:c>
      <x:c r="I8" s="16" t="str">
        <x:v>platinum bushing / supply bottleneck</x:v>
      </x:c>
      <x:c r="J8" s="16" t="str">
        <x:v>electrical insulation, hot-area lagging, later GFRP</x:v>
      </x:c>
      <x:c r="K8" s="16" t="str">
        <x:v>1934–37 airframe primary structure</x:v>
      </x:c>
      <x:c r="L8" s="16" t="str">
        <x:v>FIXED CLOCK</x:v>
      </x:c>
    </x:row>
    <x:row r="9">
      <x:c r="A9" s="16" t="str">
        <x:v>Wet-strength GFRP</x:v>
      </x:c>
      <x:c r="B9" s="16" t="str">
        <x:v>1941–43 selected</x:v>
      </x:c>
      <x:c r="C9" s="16" t="str">
        <x:v>epoxy/phenolic + coupling</x:v>
      </x:c>
      <x:c r="D9" s="16" t="str">
        <x:v>selected structural panels</x:v>
      </x:c>
      <x:c r="E9" s="16" t="str">
        <x:v>high</x:v>
      </x:c>
      <x:c r="F9" s="16" t="str">
        <x:v>high</x:v>
      </x:c>
      <x:c r="G9" s="16" t="str">
        <x:v>managed only after coupling proof</x:v>
      </x:c>
      <x:c r="H9" s="16" t="str">
        <x:v>moderate</x:v>
      </x:c>
      <x:c r="I9" s="16" t="str">
        <x:v>limited/high-value</x:v>
      </x:c>
      <x:c r="J9" s="16" t="str">
        <x:v>tanks, shells, selected load-carrying skins</x:v>
      </x:c>
      <x:c r="K9" s="16" t="str">
        <x:v>blanket primary aircraft replacement</x:v>
      </x:c>
      <x:c r="L9" s="16" t="str">
        <x:v>GATED</x:v>
      </x:c>
    </x:row>
    <x:row r="10">
      <x:c r="A10" s="16" t="str">
        <x:v>Rayon-derived carbon fiber</x:v>
      </x:c>
      <x:c r="B10" s="16" t="str">
        <x:v>late-1930s tiny experimental</x:v>
      </x:c>
      <x:c r="C10" s="16" t="str">
        <x:v>epoxy</x:v>
      </x:c>
      <x:c r="D10" s="16" t="str">
        <x:v>point stiffening / coupons</x:v>
      </x:c>
      <x:c r="E10" s="16" t="str">
        <x:v>very high potential</x:v>
      </x:c>
      <x:c r="F10" s="16" t="str">
        <x:v>high potential but scatter</x:v>
      </x:c>
      <x:c r="G10" s="16" t="str">
        <x:v>low absorption, interface unknown</x:v>
      </x:c>
      <x:c r="H10" s="16" t="str">
        <x:v>moderate</x:v>
      </x:c>
      <x:c r="I10" s="16" t="str">
        <x:v>extremely scarce furnace-limited</x:v>
      </x:c>
      <x:c r="J10" s="16" t="str">
        <x:v>local stiffeners, rods, experimental coupons</x:v>
      </x:c>
      <x:c r="K10" s="16" t="str">
        <x:v>serial primary airframe in E5/E6 period</x:v>
      </x:c>
      <x:c r="L10" s="16" t="str">
        <x:v>SEED ONLY</x:v>
      </x:c>
    </x:row>
  </x:sheetData>
  <x:mergeCells>
    <x:mergeCell ref="A1:L1"/>
  </x:mergeCells>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5" hidden="0" customWidth="1"/>
    <x:col min="3" max="3" width="18" hidden="0" customWidth="1"/>
    <x:col min="4" max="4" width="22" hidden="0" customWidth="1"/>
    <x:col min="5" max="5" width="22" hidden="0" customWidth="1"/>
    <x:col min="6" max="6" width="22" hidden="0" customWidth="1"/>
    <x:col min="7" max="7" width="30" hidden="0" customWidth="1"/>
    <x:col min="8" max="8" width="38" hidden="0" customWidth="1"/>
    <x:col min="9" max="9" width="34" hidden="0" customWidth="1"/>
    <x:col min="10" max="10" width="28" hidden="0" customWidth="1"/>
    <x:col min="11" max="11" width="32" hidden="0" customWidth="1"/>
    <x:col min="12" max="12" width="40" hidden="0" customWidth="1"/>
    <x:col min="13" max="13" width="20" hidden="0" customWidth="1"/>
  </x:cols>
  <x:sheetData>
    <x:row r="1" ht="26" customHeight="1">
      <x:c r="A1" s="20" t="str">
        <x:v>工程能力 — 素材より重要な『作って毎回同じになるか』</x:v>
      </x:c>
      <x:c r="B1" s="20"/>
      <x:c r="C1" s="20"/>
      <x:c r="D1" s="20"/>
      <x:c r="E1" s="20"/>
      <x:c r="F1" s="20"/>
      <x:c r="G1" s="20"/>
      <x:c r="H1" s="20"/>
      <x:c r="I1" s="20"/>
      <x:c r="J1" s="20"/>
      <x:c r="K1" s="20"/>
      <x:c r="L1" s="20"/>
      <x:c r="M1" s="20"/>
      <x:c r="N1" s="21"/>
      <x:c r="O1" s="21"/>
      <x:c r="P1" s="21"/>
      <x:c r="Q1" s="21"/>
      <x:c r="R1" s="21"/>
      <x:c r="S1" s="21"/>
      <x:c r="T1" s="21"/>
      <x:c r="U1" s="21"/>
      <x:c r="V1" s="21"/>
      <x:c r="W1" s="21"/>
      <x:c r="X1" s="21"/>
      <x:c r="Y1" s="21"/>
      <x:c r="Z1" s="21"/>
    </x:row>
    <x:row r="3">
      <x:c r="A3" s="11" t="str">
        <x:v>Process</x:v>
      </x:c>
      <x:c r="B3" s="11" t="str">
        <x:v>1933</x:v>
      </x:c>
      <x:c r="C3" s="11" t="str">
        <x:v>1935</x:v>
      </x:c>
      <x:c r="D3" s="11" t="str">
        <x:v>1937</x:v>
      </x:c>
      <x:c r="E3" s="11" t="str">
        <x:v>1939</x:v>
      </x:c>
      <x:c r="F3" s="11" t="str">
        <x:v>1941</x:v>
      </x:c>
      <x:c r="G3" s="11" t="str">
        <x:v>Scale ceiling</x:v>
      </x:c>
      <x:c r="H3" s="11" t="str">
        <x:v>Critical control</x:v>
      </x:c>
      <x:c r="I3" s="11" t="str">
        <x:v>Inspection</x:v>
      </x:c>
      <x:c r="J3" s="11" t="str">
        <x:v>Repairability</x:v>
      </x:c>
      <x:c r="K3" s="11" t="str">
        <x:v>Labor effect</x:v>
      </x:c>
      <x:c r="L3" s="11" t="str">
        <x:v>Aircraft leverage</x:v>
      </x:c>
      <x:c r="M3" s="11" t="str">
        <x:v>Status</x:v>
      </x:c>
    </x:row>
    <x:row r="4">
      <x:c r="A4" s="16" t="str">
        <x:v>Epoxy casting/potting</x:v>
      </x:c>
      <x:c r="B4" s="16" t="str">
        <x:v>lab-small</x:v>
      </x:c>
      <x:c r="C4" s="16" t="str">
        <x:v>small serial</x:v>
      </x:c>
      <x:c r="D4" s="16" t="str">
        <x:v>serial high-value</x:v>
      </x:c>
      <x:c r="E4" s="16" t="str">
        <x:v>mature small-series</x:v>
      </x:c>
      <x:c r="F4" s="16" t="str">
        <x:v>mature</x:v>
      </x:c>
      <x:c r="G4" s="16" t="str">
        <x:v>small/medium parts</x:v>
      </x:c>
      <x:c r="H4" s="16" t="str">
        <x:v>mix ratio, cure, voids</x:v>
      </x:c>
      <x:c r="I4" s="16" t="str">
        <x:v>witness coupon / electrical test</x:v>
      </x:c>
      <x:c r="J4" s="16" t="str">
        <x:v>good for local repair</x:v>
      </x:c>
      <x:c r="K4" s="16" t="str">
        <x:v>moves work from precision machining</x:v>
      </x:c>
      <x:c r="L4" s="16" t="str">
        <x:v>electrics, seals, fittings</x:v>
      </x:c>
      <x:c r="M4" s="16" t="str">
        <x:v>KEEP</x:v>
      </x:c>
    </x:row>
    <x:row r="5">
      <x:c r="A5" s="16" t="str">
        <x:v>Adhesive bonding wood/FRP</x:v>
      </x:c>
      <x:c r="B5" s="16" t="str">
        <x:v>coupon</x:v>
      </x:c>
      <x:c r="C5" s="16" t="str">
        <x:v>full panel</x:v>
      </x:c>
      <x:c r="D5" s="16" t="str">
        <x:v>flight-structure demo</x:v>
      </x:c>
      <x:c r="E5" s="16" t="str">
        <x:v>application serial</x:v>
      </x:c>
      <x:c r="F5" s="16" t="str">
        <x:v>mature specific joints</x:v>
      </x:c>
      <x:c r="G5" s="16" t="str">
        <x:v>multi-meter panels</x:v>
      </x:c>
      <x:c r="H5" s="16" t="str">
        <x:v>surface prep, pressure, cure, humidity</x:v>
      </x:c>
      <x:c r="I5" s="16" t="str">
        <x:v>coupon + destructive sample</x:v>
      </x:c>
      <x:c r="J5" s="16" t="str">
        <x:v>good with scarf/patch standard</x:v>
      </x:c>
      <x:c r="K5" s="16" t="str">
        <x:v>reduces fasteners/parts</x:v>
      </x:c>
      <x:c r="L5" s="16" t="str">
        <x:v>shells, skins, doors, control surfaces</x:v>
      </x:c>
      <x:c r="M5" s="16" t="str">
        <x:v>KEY E5</x:v>
      </x:c>
    </x:row>
    <x:row r="6">
      <x:c r="A6" s="16" t="str">
        <x:v>Bonded aluminum/steel</x:v>
      </x:c>
      <x:c r="B6" s="16" t="str">
        <x:v>coupon</x:v>
      </x:c>
      <x:c r="C6" s="16" t="str">
        <x:v>doublers / hybrid joints</x:v>
      </x:c>
      <x:c r="D6" s="16" t="str">
        <x:v>full-size joint demos</x:v>
      </x:c>
      <x:c r="E6" s="16" t="str">
        <x:v>selected airframe joints</x:v>
      </x:c>
      <x:c r="F6" s="16" t="str">
        <x:v>mature specific joints</x:v>
      </x:c>
      <x:c r="G6" s="16" t="str">
        <x:v>joint not whole airframe blanket</x:v>
      </x:c>
      <x:c r="H6" s="16" t="str">
        <x:v>degrease/anodize/primer/cure</x:v>
      </x:c>
      <x:c r="I6" s="16" t="str">
        <x:v>proof coupon; visual alone insufficient</x:v>
      </x:c>
      <x:c r="J6" s="16" t="str">
        <x:v>excellent for doublers/patches</x:v>
      </x:c>
      <x:c r="K6" s="16" t="str">
        <x:v>reduces drilling/riveting</x:v>
      </x:c>
      <x:c r="L6" s="16" t="str">
        <x:v>fatigue/skin smoothness/repair</x:v>
      </x:c>
      <x:c r="M6" s="16" t="str">
        <x:v>KEY E5</x:v>
      </x:c>
    </x:row>
    <x:row r="7">
      <x:c r="A7" s="16" t="str">
        <x:v>Low-pressure plant-FRP molding</x:v>
      </x:c>
      <x:c r="B7" s="16" t="str">
        <x:v>small</x:v>
      </x:c>
      <x:c r="C7" s="16" t="str">
        <x:v>meter-class</x:v>
      </x:c>
      <x:c r="D7" s="16" t="str">
        <x:v>large shell/panel prototype</x:v>
      </x:c>
      <x:c r="E7" s="16" t="str">
        <x:v>small serial</x:v>
      </x:c>
      <x:c r="F7" s="16" t="str">
        <x:v>serial secondary</x:v>
      </x:c>
      <x:c r="G7" s="16" t="str">
        <x:v>large mold/tooling limit</x:v>
      </x:c>
      <x:c r="H7" s="16" t="str">
        <x:v>fiber fraction, resin distribution, voids</x:v>
      </x:c>
      <x:c r="I7" s="16" t="str">
        <x:v>coupon + weight/thickness + tap/section</x:v>
      </x:c>
      <x:c r="J7" s="16" t="str">
        <x:v>patchable</x:v>
      </x:c>
      <x:c r="K7" s="16" t="str">
        <x:v>separate molding labor pool</x:v>
      </x:c>
      <x:c r="L7" s="16" t="str">
        <x:v>fairings, tanks, ducts, sandwich skins</x:v>
      </x:c>
      <x:c r="M7" s="16" t="str">
        <x:v>KEY E5</x:v>
      </x:c>
    </x:row>
    <x:row r="8">
      <x:c r="A8" s="16" t="str">
        <x:v>Paper-honeycomb sandwich</x:v>
      </x:c>
      <x:c r="B8" s="16" t="str">
        <x:v>concept/coupon</x:v>
      </x:c>
      <x:c r="C8" s="16" t="str">
        <x:v>panel</x:v>
      </x:c>
      <x:c r="D8" s="16" t="str">
        <x:v>full-size shell/door/floor</x:v>
      </x:c>
      <x:c r="E8" s="16" t="str">
        <x:v>small serial</x:v>
      </x:c>
      <x:c r="F8" s="16" t="str">
        <x:v>mature secondary</x:v>
      </x:c>
      <x:c r="G8" s="16" t="str">
        <x:v>panel + hardpoint engineering</x:v>
      </x:c>
      <x:c r="H8" s="16" t="str">
        <x:v>edge sealing, insert potting, core shear</x:v>
      </x:c>
      <x:c r="I8" s="16" t="str">
        <x:v>panel proof + cut samples</x:v>
      </x:c>
      <x:c r="J8" s="16" t="str">
        <x:v>repair needs standard edge/core method</x:v>
      </x:c>
      <x:c r="K8" s="16" t="str">
        <x:v>huge parts-count reduction</x:v>
      </x:c>
      <x:c r="L8" s="16" t="str">
        <x:v>large-aircraft shells/floors</x:v>
      </x:c>
      <x:c r="M8" s="16" t="str">
        <x:v>KEY E5</x:v>
      </x:c>
    </x:row>
    <x:row r="9">
      <x:c r="A9" s="16" t="str">
        <x:v>Vacuum-bag / controlled compaction</x:v>
      </x:c>
      <x:c r="B9" s="16" t="str">
        <x:v>experimental simple bagging</x:v>
      </x:c>
      <x:c r="C9" s="16" t="str">
        <x:v>prototype</x:v>
      </x:c>
      <x:c r="D9" s="16" t="str">
        <x:v>regular prototype tool</x:v>
      </x:c>
      <x:c r="E9" s="16" t="str">
        <x:v>small serial</x:v>
      </x:c>
      <x:c r="F9" s="16" t="str">
        <x:v>mature selected</x:v>
      </x:c>
      <x:c r="G9" s="16" t="str">
        <x:v>bag/tool size</x:v>
      </x:c>
      <x:c r="H9" s="16" t="str">
        <x:v>leak, resin bleed, compaction</x:v>
      </x:c>
      <x:c r="I9" s="16" t="str">
        <x:v>weight/thickness/coupon</x:v>
      </x:c>
      <x:c r="J9" s="16" t="str">
        <x:v>moderate</x:v>
      </x:c>
      <x:c r="K9" s="16" t="str">
        <x:v>quality improves without giant press</x:v>
      </x:c>
      <x:c r="L9" s="16" t="str">
        <x:v>large panels, blades</x:v>
      </x:c>
      <x:c r="M9" s="16" t="str">
        <x:v>WORLDLINE-PROBABLE</x:v>
      </x:c>
    </x:row>
    <x:row r="10">
      <x:c r="A10" s="16" t="str">
        <x:v>Glass-FRP molding</x:v>
      </x:c>
      <x:c r="B10" s="16" t="str">
        <x:v>N/A</x:v>
      </x:c>
      <x:c r="C10" s="16" t="str">
        <x:v>N/A</x:v>
      </x:c>
      <x:c r="D10" s="16" t="str">
        <x:v>N/A structural</x:v>
      </x:c>
      <x:c r="E10" s="16" t="str">
        <x:v>secondary prototype</x:v>
      </x:c>
      <x:c r="F10" s="16" t="str">
        <x:v>large secondary/semi-structural</x:v>
      </x:c>
      <x:c r="G10" s="16" t="str">
        <x:v>glass/coupling supply</x:v>
      </x:c>
      <x:c r="H10" s="16" t="str">
        <x:v>wet interface, coupling, cure</x:v>
      </x:c>
      <x:c r="I10" s="16" t="str">
        <x:v>wet coupon + destructive</x:v>
      </x:c>
      <x:c r="J10" s="16" t="str">
        <x:v>patchable</x:v>
      </x:c>
      <x:c r="K10" s="16" t="str">
        <x:v>new labor pool</x:v>
      </x:c>
      <x:c r="L10" s="16" t="str">
        <x:v>radomes/tanks/covers later</x:v>
      </x:c>
      <x:c r="M10" s="16" t="str">
        <x:v>FIXED CLOCK</x:v>
      </x:c>
    </x:row>
  </x:sheetData>
  <x:mergeCells>
    <x:mergeCell ref="A1:M1"/>
  </x:mergeCells>
  <x:pageMargins left="0.7" right="0.7" top="0.75" bottom="0.75" header="0.3" footer="0.3"/>
</x:worksheet>
</file>

<file path=xl/worksheets/sheet5.xml><?xml version="1.0" encoding="utf-8"?>
<x:worksheet xmlns:x="http://schemas.openxmlformats.org/spreadsheetml/2006/main">
  <x:sheetFormatPr defaultRowHeight="15"/>
  <x:cols>
    <x:col min="1" max="1" width="32" hidden="0" customWidth="1"/>
    <x:col min="2" max="2" width="12" hidden="0" customWidth="1"/>
    <x:col min="3" max="3" width="12" hidden="0" customWidth="1"/>
    <x:col min="4" max="4" width="14" hidden="0" customWidth="1"/>
    <x:col min="5" max="5" width="14" hidden="0" customWidth="1"/>
    <x:col min="6" max="6" width="18" hidden="0" customWidth="1"/>
    <x:col min="7" max="7" width="18" hidden="0" customWidth="1"/>
    <x:col min="8" max="8" width="18" hidden="0" customWidth="1"/>
    <x:col min="9" max="9" width="38" hidden="0" customWidth="1"/>
    <x:col min="10" max="10" width="34" hidden="0" customWidth="1"/>
    <x:col min="11" max="11" width="34" hidden="0" customWidth="1"/>
    <x:col min="12" max="12" width="42" hidden="0" customWidth="1"/>
    <x:col min="13" max="13" width="34" hidden="0" customWidth="1"/>
    <x:col min="14" max="14" width="20" hidden="0" customWidth="1"/>
  </x:cols>
  <x:sheetData>
    <x:row r="1" ht="26" customHeight="1">
      <x:c r="A1" s="20" t="str">
        <x:v>航空構造リリース・マトリクス — 何をどこまで置換できるか</x:v>
      </x:c>
      <x:c r="B1" s="20"/>
      <x:c r="C1" s="20"/>
      <x:c r="D1" s="20"/>
      <x:c r="E1" s="20"/>
      <x:c r="F1" s="20"/>
      <x:c r="G1" s="20"/>
      <x:c r="H1" s="20"/>
      <x:c r="I1" s="20"/>
      <x:c r="J1" s="20"/>
      <x:c r="K1" s="20"/>
      <x:c r="L1" s="20"/>
      <x:c r="M1" s="20"/>
      <x:c r="N1" s="20"/>
      <x:c r="O1" s="21"/>
      <x:c r="P1" s="21"/>
      <x:c r="Q1" s="21"/>
      <x:c r="R1" s="21"/>
      <x:c r="S1" s="21"/>
      <x:c r="T1" s="21"/>
      <x:c r="U1" s="21"/>
      <x:c r="V1" s="21"/>
      <x:c r="W1" s="21"/>
      <x:c r="X1" s="21"/>
      <x:c r="Y1" s="21"/>
      <x:c r="Z1" s="21"/>
    </x:row>
    <x:row r="3">
      <x:c r="A3" s="11" t="str">
        <x:v>Structure / part</x:v>
      </x:c>
      <x:c r="B3" s="11" t="str">
        <x:v>1934</x:v>
      </x:c>
      <x:c r="C3" s="11" t="str">
        <x:v>1935</x:v>
      </x:c>
      <x:c r="D3" s="11" t="str">
        <x:v>1936</x:v>
      </x:c>
      <x:c r="E3" s="11" t="str">
        <x:v>1937</x:v>
      </x:c>
      <x:c r="F3" s="11" t="str">
        <x:v>1938–39</x:v>
      </x:c>
      <x:c r="G3" s="11" t="str">
        <x:v>1940–41</x:v>
      </x:c>
      <x:c r="H3" s="11" t="str">
        <x:v>1941–43</x:v>
      </x:c>
      <x:c r="I3" s="11" t="str">
        <x:v>Preferred material/process</x:v>
      </x:c>
      <x:c r="J3" s="11" t="str">
        <x:v>Benefit</x:v>
      </x:c>
      <x:c r="K3" s="11" t="str">
        <x:v>Main failure mode</x:v>
      </x:c>
      <x:c r="L3" s="11" t="str">
        <x:v>Required proof</x:v>
      </x:c>
      <x:c r="M3" s="11" t="str">
        <x:v>Large-aircraft value</x:v>
      </x:c>
      <x:c r="N3" s="11" t="str">
        <x:v>Status</x:v>
      </x:c>
    </x:row>
    <x:row r="4">
      <x:c r="A4" s="16" t="str">
        <x:v>Fairing / duct / cover</x:v>
      </x:c>
      <x:c r="B4" s="16" t="str">
        <x:v>TEST</x:v>
      </x:c>
      <x:c r="C4" s="16" t="str">
        <x:v>LIMITED</x:v>
      </x:c>
      <x:c r="D4" s="16" t="str">
        <x:v>SERIAL</x:v>
      </x:c>
      <x:c r="E4" s="16" t="str">
        <x:v>SERIAL</x:v>
      </x:c>
      <x:c r="F4" s="16" t="str">
        <x:v>SERIAL</x:v>
      </x:c>
      <x:c r="G4" s="16" t="str">
        <x:v>SERIAL</x:v>
      </x:c>
      <x:c r="H4" s="16" t="str">
        <x:v>SERIAL</x:v>
      </x:c>
      <x:c r="I4" s="16" t="str">
        <x:v>plant-FRP/epoxy; later GFRP</x:v>
      </x:c>
      <x:c r="J4" s="16" t="str">
        <x:v>shape, corrosion, metal labor</x:v>
      </x:c>
      <x:c r="K4" s="16" t="str">
        <x:v>heat/fire/impact</x:v>
      </x:c>
      <x:c r="L4" s="16" t="str">
        <x:v>heat/fuel/vibration</x:v>
      </x:c>
      <x:c r="M4" s="16" t="str">
        <x:v>HIGH area &amp; part-count</x:v>
      </x:c>
      <x:c r="N4" s="16" t="str">
        <x:v>EARLY WIN</x:v>
      </x:c>
    </x:row>
    <x:row r="5">
      <x:c r="A5" s="16" t="str">
        <x:v>Fuel tank / external tank</x:v>
      </x:c>
      <x:c r="B5" s="16" t="str">
        <x:v>TEST</x:v>
      </x:c>
      <x:c r="C5" s="16" t="str">
        <x:v>LIMITED</x:v>
      </x:c>
      <x:c r="D5" s="16" t="str">
        <x:v>LIMITED</x:v>
      </x:c>
      <x:c r="E5" s="16" t="str">
        <x:v>SERIAL prototype</x:v>
      </x:c>
      <x:c r="F5" s="16" t="str">
        <x:v>SERIAL selected</x:v>
      </x:c>
      <x:c r="G5" s="16" t="str">
        <x:v>SERIAL</x:v>
      </x:c>
      <x:c r="H5" s="16" t="str">
        <x:v>SERIAL</x:v>
      </x:c>
      <x:c r="I5" s="16" t="str">
        <x:v>epoxy-lined plant-FRP/sandwich; later GFRP</x:v>
      </x:c>
      <x:c r="J5" s="16" t="str">
        <x:v>shape, corrosion, nonmetal</x:v>
      </x:c>
      <x:c r="K5" s="16" t="str">
        <x:v>leak, permeation, crash</x:v>
      </x:c>
      <x:c r="L5" s="16" t="str">
        <x:v>fuel soak, pressure cycle</x:v>
      </x:c>
      <x:c r="M5" s="16" t="str">
        <x:v>HIGH, especially GT kerosene</x:v>
      </x:c>
      <x:c r="N5" s="16" t="str">
        <x:v>EARLY WIN</x:v>
      </x:c>
    </x:row>
    <x:row r="6">
      <x:c r="A6" s="16" t="str">
        <x:v>Floor / bulkhead / door</x:v>
      </x:c>
      <x:c r="B6" s="16" t="str">
        <x:v>COUPON</x:v>
      </x:c>
      <x:c r="C6" s="16" t="str">
        <x:v>TEST</x:v>
      </x:c>
      <x:c r="D6" s="16" t="str">
        <x:v>LIMITED</x:v>
      </x:c>
      <x:c r="E6" s="16" t="str">
        <x:v>SERIAL prototype</x:v>
      </x:c>
      <x:c r="F6" s="16" t="str">
        <x:v>SERIAL</x:v>
      </x:c>
      <x:c r="G6" s="16" t="str">
        <x:v>SERIAL</x:v>
      </x:c>
      <x:c r="H6" s="16" t="str">
        <x:v>SERIAL</x:v>
      </x:c>
      <x:c r="I6" s="16" t="str">
        <x:v>paper honeycomb + plant-FRP/metal skins</x:v>
      </x:c>
      <x:c r="J6" s="16" t="str">
        <x:v>huge stiffness/weight/parts</x:v>
      </x:c>
      <x:c r="K6" s="16" t="str">
        <x:v>edge crush, moisture, hardpoint</x:v>
      </x:c>
      <x:c r="L6" s="16" t="str">
        <x:v>panel proof, abuse, wet fatigue</x:v>
      </x:c>
      <x:c r="M6" s="16" t="str">
        <x:v>VERY HIGH</x:v>
      </x:c>
      <x:c r="N6" s="16" t="str">
        <x:v>E5 WIN</x:v>
      </x:c>
    </x:row>
    <x:row r="7">
      <x:c r="A7" s="16" t="str">
        <x:v>Control surface / tail secondary</x:v>
      </x:c>
      <x:c r="B7" s="16" t="str">
        <x:v>COUPON</x:v>
      </x:c>
      <x:c r="C7" s="16" t="str">
        <x:v>TEST</x:v>
      </x:c>
      <x:c r="D7" s="16" t="str">
        <x:v>FLIGHT DEMO</x:v>
      </x:c>
      <x:c r="E7" s="16" t="str">
        <x:v>LIMITED</x:v>
      </x:c>
      <x:c r="F7" s="16" t="str">
        <x:v>SERIAL selected</x:v>
      </x:c>
      <x:c r="G7" s="16" t="str">
        <x:v>SERIAL</x:v>
      </x:c>
      <x:c r="H7" s="16" t="str">
        <x:v>SERIAL</x:v>
      </x:c>
      <x:c r="I7" s="16" t="str">
        <x:v>sandwich plant-FRP / bonded metal</x:v>
      </x:c>
      <x:c r="J7" s="16" t="str">
        <x:v>low inertia, smoothness</x:v>
      </x:c>
      <x:c r="K7" s="16" t="str">
        <x:v>flutter, bond peel</x:v>
      </x:c>
      <x:c r="L7" s="16" t="str">
        <x:v>ground vibration + flight envelope</x:v>
      </x:c>
      <x:c r="M7" s="16" t="str">
        <x:v>HIGH</x:v>
      </x:c>
      <x:c r="N7" s="16" t="str">
        <x:v>E5 DEMO</x:v>
      </x:c>
    </x:row>
    <x:row r="8">
      <x:c r="A8" s="16" t="str">
        <x:v>Fuselage secondary shell zones</x:v>
      </x:c>
      <x:c r="B8" s="16" t="str">
        <x:v>COUPON</x:v>
      </x:c>
      <x:c r="C8" s="16" t="str">
        <x:v>GROUND</x:v>
      </x:c>
      <x:c r="D8" s="16" t="str">
        <x:v>FLIGHT DEMO</x:v>
      </x:c>
      <x:c r="E8" s="16" t="str">
        <x:v>FLIGHT DEMO</x:v>
      </x:c>
      <x:c r="F8" s="16" t="str">
        <x:v>LIMITED</x:v>
      </x:c>
      <x:c r="G8" s="16" t="str">
        <x:v>SERIAL selected</x:v>
      </x:c>
      <x:c r="H8" s="16" t="str">
        <x:v>SERIAL selected</x:v>
      </x:c>
      <x:c r="I8" s="16" t="str">
        <x:v>sandwich plant-FRP / bonded hybrid</x:v>
      </x:c>
      <x:c r="J8" s="16" t="str">
        <x:v>smooth shell, fewer frames</x:v>
      </x:c>
      <x:c r="K8" s="16" t="str">
        <x:v>global stiffness, moisture</x:v>
      </x:c>
      <x:c r="L8" s="16" t="str">
        <x:v>full barrel load + flight</x:v>
      </x:c>
      <x:c r="M8" s="16" t="str">
        <x:v>VERY HIGH</x:v>
      </x:c>
      <x:c r="N8" s="16" t="str">
        <x:v>E5 DEMO</x:v>
      </x:c>
    </x:row>
    <x:row r="9">
      <x:c r="A9" s="16" t="str">
        <x:v>Wing skin between primary members</x:v>
      </x:c>
      <x:c r="B9" s="16" t="str">
        <x:v>COUPON</x:v>
      </x:c>
      <x:c r="C9" s="16" t="str">
        <x:v>GROUND</x:v>
      </x:c>
      <x:c r="D9" s="16" t="str">
        <x:v>GROUND/DEMO</x:v>
      </x:c>
      <x:c r="E9" s="16" t="str">
        <x:v>FLIGHT DEMO</x:v>
      </x:c>
      <x:c r="F9" s="16" t="str">
        <x:v>LIMITED</x:v>
      </x:c>
      <x:c r="G9" s="16" t="str">
        <x:v>SERIAL selected</x:v>
      </x:c>
      <x:c r="H9" s="16" t="str">
        <x:v>SERIAL selected</x:v>
      </x:c>
      <x:c r="I9" s="16" t="str">
        <x:v>sandwich / bonded metal</x:v>
      </x:c>
      <x:c r="J9" s="16" t="str">
        <x:v>buckling stiffness, smoothness</x:v>
      </x:c>
      <x:c r="K9" s="16" t="str">
        <x:v>torsion/flutter/bond</x:v>
      </x:c>
      <x:c r="L9" s="16" t="str">
        <x:v>wing box + flutter</x:v>
      </x:c>
      <x:c r="M9" s="16" t="str">
        <x:v>VERY HIGH</x:v>
      </x:c>
      <x:c r="N9" s="16" t="str">
        <x:v>E5/E6 GATE</x:v>
      </x:c>
    </x:row>
    <x:row r="10">
      <x:c r="A10" s="16" t="str">
        <x:v>Main spar / wing caps</x:v>
      </x:c>
      <x:c r="B10" s="16" t="str">
        <x:v>NO</x:v>
      </x:c>
      <x:c r="C10" s="16" t="str">
        <x:v>NO</x:v>
      </x:c>
      <x:c r="D10" s="16" t="str">
        <x:v>NO</x:v>
      </x:c>
      <x:c r="E10" s="16" t="str">
        <x:v>NO</x:v>
      </x:c>
      <x:c r="F10" s="16" t="str">
        <x:v>EXPERIMENTAL hybrid only</x:v>
      </x:c>
      <x:c r="G10" s="16" t="str">
        <x:v>specific bonded hybrid</x:v>
      </x:c>
      <x:c r="H10" s="16" t="str">
        <x:v>selected GFRP only after proof</x:v>
      </x:c>
      <x:c r="I10" s="16" t="str">
        <x:v>wood/metal primary; later selected composite</x:v>
      </x:c>
      <x:c r="J10" s="16" t="str">
        <x:v>large potential but high consequence</x:v>
      </x:c>
      <x:c r="K10" s="16" t="str">
        <x:v>fatigue, peel, load concentration</x:v>
      </x:c>
      <x:c r="L10" s="16" t="str">
        <x:v>full-scale fatigue, scatter allowables</x:v>
      </x:c>
      <x:c r="M10" s="16" t="str">
        <x:v>VERY HIGH but late</x:v>
      </x:c>
      <x:c r="N10" s="16" t="str">
        <x:v>GATED</x:v>
      </x:c>
    </x:row>
    <x:row r="11">
      <x:c r="A11" s="16" t="str">
        <x:v>Landing gear / engine mount / firewall</x:v>
      </x:c>
      <x:c r="B11" s="16" t="str">
        <x:v>NO</x:v>
      </x:c>
      <x:c r="C11" s="16" t="str">
        <x:v>NO</x:v>
      </x:c>
      <x:c r="D11" s="16" t="str">
        <x:v>NO</x:v>
      </x:c>
      <x:c r="E11" s="16" t="str">
        <x:v>NO</x:v>
      </x:c>
      <x:c r="F11" s="16" t="str">
        <x:v>NO</x:v>
      </x:c>
      <x:c r="G11" s="16" t="str">
        <x:v>NO</x:v>
      </x:c>
      <x:c r="H11" s="16" t="str">
        <x:v>mostly metal</x:v>
      </x:c>
      <x:c r="I11" s="16" t="str">
        <x:v>steel/aluminum + bonded local doublers</x:v>
      </x:c>
      <x:c r="J11" s="16" t="str">
        <x:v>local weight only</x:v>
      </x:c>
      <x:c r="K11" s="16" t="str">
        <x:v>heat, impact, concentrated loads</x:v>
      </x:c>
      <x:c r="L11" s="16" t="str">
        <x:v>conventional proof</x:v>
      </x:c>
      <x:c r="M11" s="16" t="str">
        <x:v>LOW-MEDIUM</x:v>
      </x:c>
      <x:c r="N11" s="16" t="str">
        <x:v>METAL</x:v>
      </x:c>
    </x:row>
    <x:row r="12">
      <x:c r="A12" s="16" t="str">
        <x:v>Large wing/fuselage ground article</x:v>
      </x:c>
      <x:c r="B12" s="16" t="str">
        <x:v>START</x:v>
      </x:c>
      <x:c r="C12" s="16" t="str">
        <x:v>YES</x:v>
      </x:c>
      <x:c r="D12" s="16" t="str">
        <x:v>YES</x:v>
      </x:c>
      <x:c r="E12" s="16" t="str">
        <x:v>YES</x:v>
      </x:c>
      <x:c r="F12" s="16" t="str">
        <x:v>YES</x:v>
      </x:c>
      <x:c r="G12" s="16" t="str">
        <x:v>YES</x:v>
      </x:c>
      <x:c r="H12" s="16" t="str">
        <x:v>YES</x:v>
      </x:c>
      <x:c r="I12" s="16" t="str">
        <x:v>bonded/sandwich hybrid</x:v>
      </x:c>
      <x:c r="J12" s="16" t="str">
        <x:v>scale learning</x:v>
      </x:c>
      <x:c r="K12" s="16" t="str">
        <x:v>global stiffness / manufacturing</x:v>
      </x:c>
      <x:c r="L12" s="16" t="str">
        <x:v>ultimate load + wet aging</x:v>
      </x:c>
      <x:c r="M12" s="16" t="str">
        <x:v>CRITICAL</x:v>
      </x:c>
      <x:c r="N12" s="16" t="str">
        <x:v>PROGRAM TOOL</x:v>
      </x:c>
    </x:row>
  </x:sheetData>
  <x:mergeCells>
    <x:mergeCell ref="A1:N1"/>
  </x:mergeCells>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18" hidden="0" customWidth="1"/>
    <x:col min="3" max="3" width="34" hidden="0" customWidth="1"/>
    <x:col min="4" max="4" width="34" hidden="0" customWidth="1"/>
    <x:col min="5" max="5" width="34" hidden="0" customWidth="1"/>
    <x:col min="6" max="6" width="34" hidden="0" customWidth="1"/>
    <x:col min="7" max="7" width="26" hidden="0" customWidth="1"/>
    <x:col min="8" max="8" width="32" hidden="0" customWidth="1"/>
    <x:col min="9" max="9" width="42" hidden="0" customWidth="1"/>
    <x:col min="10" max="10" width="38" hidden="0" customWidth="1"/>
    <x:col min="11" max="11" width="48" hidden="0" customWidth="1"/>
    <x:col min="12" max="12" width="42" hidden="0" customWidth="1"/>
    <x:col min="13" max="13" width="18" hidden="0" customWidth="1"/>
  </x:cols>
  <x:sheetData>
    <x:row r="1" ht="26" customHeight="1">
      <x:c r="A1" s="20" t="str">
        <x:v>構造スケール包絡 — 小型機から超大型機へ何が増幅されるか</x:v>
      </x:c>
      <x:c r="B1" s="20"/>
      <x:c r="C1" s="20"/>
      <x:c r="D1" s="20"/>
      <x:c r="E1" s="20"/>
      <x:c r="F1" s="20"/>
      <x:c r="G1" s="20"/>
      <x:c r="H1" s="20"/>
      <x:c r="I1" s="20"/>
      <x:c r="J1" s="20"/>
      <x:c r="K1" s="20"/>
      <x:c r="L1" s="20"/>
      <x:c r="M1" s="20"/>
      <x:c r="N1" s="21"/>
      <x:c r="O1" s="21"/>
      <x:c r="P1" s="21"/>
      <x:c r="Q1" s="21"/>
      <x:c r="R1" s="21"/>
      <x:c r="S1" s="21"/>
      <x:c r="T1" s="21"/>
      <x:c r="U1" s="21"/>
      <x:c r="V1" s="21"/>
      <x:c r="W1" s="21"/>
      <x:c r="X1" s="21"/>
      <x:c r="Y1" s="21"/>
      <x:c r="Z1" s="21"/>
    </x:row>
    <x:row r="3">
      <x:c r="A3" s="11" t="str">
        <x:v>Airframe class</x:v>
      </x:c>
      <x:c r="B3" s="11" t="str">
        <x:v>Typical gross mass</x:v>
      </x:c>
      <x:c r="C3" s="11" t="str">
        <x:v>1935 capability</x:v>
      </x:c>
      <x:c r="D3" s="11" t="str">
        <x:v>1937 capability</x:v>
      </x:c>
      <x:c r="E3" s="11" t="str">
        <x:v>1939 capability</x:v>
      </x:c>
      <x:c r="F3" s="11" t="str">
        <x:v>1941 capability</x:v>
      </x:c>
      <x:c r="G3" s="11" t="str">
        <x:v>Composite/bonded fraction by structure mass (working)</x:v>
      </x:c>
      <x:c r="H3" s="11" t="str">
        <x:v>Primary-load path</x:v>
      </x:c>
      <x:c r="I3" s="11" t="str">
        <x:v>Main benefit</x:v>
      </x:c>
      <x:c r="J3" s="11" t="str">
        <x:v>Main penalty</x:v>
      </x:c>
      <x:c r="K3" s="11" t="str">
        <x:v>Best demonstrator logic</x:v>
      </x:c>
      <x:c r="L3" s="11" t="str">
        <x:v>Do not claim</x:v>
      </x:c>
      <x:c r="M3" s="11" t="str">
        <x:v>Status</x:v>
      </x:c>
    </x:row>
    <x:row r="4">
      <x:c r="A4" s="16" t="str">
        <x:v>Small 1–3 t</x:v>
      </x:c>
      <x:c r="B4" s="16" t="str">
        <x:v>1–3 t</x:v>
      </x:c>
      <x:c r="C4" s="16" t="str">
        <x:v>secondary parts 5–10%</x:v>
      </x:c>
      <x:c r="D4" s="16" t="str">
        <x:v>flight-demo 10–20%</x:v>
      </x:c>
      <x:c r="E4" s="16" t="str">
        <x:v>selected 15–25%</x:v>
      </x:c>
      <x:c r="F4" s="16" t="str">
        <x:v>20–30% selected</x:v>
      </x:c>
      <x:c r="G4" s="18" t="n">
        <x:v>0.2</x:v>
      </x:c>
      <x:c r="H4" s="16" t="str">
        <x:v>metal/wood</x:v>
      </x:c>
      <x:c r="I4" s="16" t="str">
        <x:v>smoothness, corrosion, control-surface inertia</x:v>
      </x:c>
      <x:c r="J4" s="16" t="str">
        <x:v>minimum-gauge limits reduce weight payoff</x:v>
      </x:c>
      <x:c r="K4" s="16" t="str">
        <x:v>A/B identical-airframe material demonstrator</x:v>
      </x:c>
      <x:c r="L4" s="16" t="str">
        <x:v>20% whole-aircraft weight saving</x:v>
      </x:c>
      <x:c r="M4" s="16" t="str">
        <x:v>WORKING</x:v>
      </x:c>
    </x:row>
    <x:row r="5">
      <x:c r="A5" s="16" t="str">
        <x:v>Medium 3–8 t</x:v>
      </x:c>
      <x:c r="B5" s="16" t="str">
        <x:v>3–8 t</x:v>
      </x:c>
      <x:c r="C5" s="16" t="str">
        <x:v>secondary 5–10%</x:v>
      </x:c>
      <x:c r="D5" s="16" t="str">
        <x:v>10–20%; shells/floors valuable</x:v>
      </x:c>
      <x:c r="E5" s="16" t="str">
        <x:v>15–30%</x:v>
      </x:c>
      <x:c r="F5" s="16" t="str">
        <x:v>25–35%</x:v>
      </x:c>
      <x:c r="G5" s="18" t="n">
        <x:v>0.25</x:v>
      </x:c>
      <x:c r="H5" s="16" t="str">
        <x:v>metal/wood</x:v>
      </x:c>
      <x:c r="I5" s="16" t="str">
        <x:v>parts count, floor/door/shell area, fuel tanks</x:v>
      </x:c>
      <x:c r="J5" s="16" t="str">
        <x:v>hardpoints and torsion remain conventional</x:v>
      </x:c>
      <x:c r="K5" s="16" t="str">
        <x:v>twin-engine systems/recon/transport demonstrator</x:v>
      </x:c>
      <x:c r="L5" s="16" t="str">
        <x:v>all-composite primary structure</x:v>
      </x:c>
      <x:c r="M5" s="16" t="str">
        <x:v>WORKING</x:v>
      </x:c>
    </x:row>
    <x:row r="6">
      <x:c r="A6" s="16" t="str">
        <x:v>Large 10–25 t</x:v>
      </x:c>
      <x:c r="B6" s="16" t="str">
        <x:v>10–25 t</x:v>
      </x:c>
      <x:c r="C6" s="16" t="str">
        <x:v>full-size ground panels; limited flight secondary</x:v>
      </x:c>
      <x:c r="D6" s="16" t="str">
        <x:v>15–25% possible on prototype</x:v>
      </x:c>
      <x:c r="E6" s="16" t="str">
        <x:v>20–35%</x:v>
      </x:c>
      <x:c r="F6" s="16" t="str">
        <x:v>30–40% selected</x:v>
      </x:c>
      <x:c r="G6" s="18" t="n">
        <x:v>0.3</x:v>
      </x:c>
      <x:c r="H6" s="16" t="str">
        <x:v>metal/wood spars, bonded/sandwich secondary shells</x:v>
      </x:c>
      <x:c r="I6" s="16" t="str">
        <x:v>large area makes labor/metal/drag payoff very strong</x:v>
      </x:c>
      <x:c r="J6" s="16" t="str">
        <x:v>tooling, cure consistency, repair logistics</x:v>
      </x:c>
      <x:c r="K6" s="16" t="str">
        <x:v>fast transport / enlarged twin- or four-engine capability demonstrator</x:v>
      </x:c>
      <x:c r="L6" s="16" t="str">
        <x:v>FRP main spar in E5</x:v>
      </x:c>
      <x:c r="M6" s="16" t="str">
        <x:v>HIGH-VALUE E5/E6</x:v>
      </x:c>
    </x:row>
    <x:row r="7">
      <x:c r="A7" s="16" t="str">
        <x:v>Very large 25–60 t</x:v>
      </x:c>
      <x:c r="B7" s="16" t="str">
        <x:v>25–60 t</x:v>
      </x:c>
      <x:c r="C7" s="16" t="str">
        <x:v>paper study + substructure only</x:v>
      </x:c>
      <x:c r="D7" s="16" t="str">
        <x:v>full-size sections / wing box ground rigs</x:v>
      </x:c>
      <x:c r="E7" s="16" t="str">
        <x:v>prototype structure feasible if propulsion/gear exists</x:v>
      </x:c>
      <x:c r="F7" s="16" t="str">
        <x:v>flight prototype possible by program choice</x:v>
      </x:c>
      <x:c r="G7" s="18" t="n">
        <x:v>0.3</x:v>
      </x:c>
      <x:c r="H7" s="16" t="str">
        <x:v>conventional primary with aggressive bonded secondary</x:v>
      </x:c>
      <x:c r="I7" s="16" t="str">
        <x:v>weight fraction + part-count + corrosion payoff scale strongly</x:v>
      </x:c>
      <x:c r="J7" s="16" t="str">
        <x:v>landing gear, pressurization, fatigue, hangar/mold scale</x:v>
      </x:c>
      <x:c r="K7" s="16" t="str">
        <x:v>capability-driven transport/high-speed logistics platform</x:v>
      </x:c>
      <x:c r="L7" s="16" t="str">
        <x:v>material alone makes giant aircraft easy</x:v>
      </x:c>
      <x:c r="M7" s="16" t="str">
        <x:v>R1/R2</x:v>
      </x:c>
    </x:row>
    <x:row r="8">
      <x:c r="A8" s="16" t="str">
        <x:v>Super-large 60 t+</x:v>
      </x:c>
      <x:c r="B8" s="16" t="str">
        <x:v>60 t+</x:v>
      </x:c>
      <x:c r="C8" s="16" t="str">
        <x:v>paper / load-path studies</x:v>
      </x:c>
      <x:c r="D8" s="16" t="str">
        <x:v>component/section rigs</x:v>
      </x:c>
      <x:c r="E8" s="16" t="str">
        <x:v>large subassemblies only</x:v>
      </x:c>
      <x:c r="F8" s="16" t="str">
        <x:v>program-dependent; no automatic flight</x:v>
      </x:c>
      <x:c r="G8" s="18" t="n">
        <x:v>0.25</x:v>
      </x:c>
      <x:c r="H8" s="16" t="str">
        <x:v>conventional/advanced hybrid</x:v>
      </x:c>
      <x:c r="I8" s="16" t="str">
        <x:v>proves scaling laws and factory method</x:v>
      </x:c>
      <x:c r="J8" s="16" t="str">
        <x:v>national infrastructure and propulsion dominate</x:v>
      </x:c>
      <x:c r="K8" s="16" t="str">
        <x:v>structural research parent, not automatic product</x:v>
      </x:c>
      <x:c r="L8" s="16" t="str">
        <x:v>'epoxy means unlimited size'</x:v>
      </x:c>
      <x:c r="M8" s="16" t="str">
        <x:v>RESEARCH ONLY</x:v>
      </x:c>
    </x:row>
  </x:sheetData>
  <x:mergeCells>
    <x:mergeCell ref="A1:M1"/>
  </x:mergeCells>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40" hidden="0" customWidth="1"/>
    <x:col min="3" max="3" width="24" hidden="0" customWidth="1"/>
    <x:col min="4" max="4" width="24" hidden="0" customWidth="1"/>
    <x:col min="5" max="5" width="26" hidden="0" customWidth="1"/>
    <x:col min="6" max="6" width="48" hidden="0" customWidth="1"/>
    <x:col min="7" max="7" width="38" hidden="0" customWidth="1"/>
    <x:col min="8" max="8" width="44" hidden="0" customWidth="1"/>
    <x:col min="9" max="9" width="34" hidden="0" customWidth="1"/>
    <x:col min="10" max="10" width="38" hidden="0" customWidth="1"/>
    <x:col min="11" max="11" width="42" hidden="0" customWidth="1"/>
    <x:col min="12" max="12" width="20" hidden="0" customWidth="1"/>
  </x:cols>
  <x:sheetData>
    <x:row r="1" ht="26" customHeight="1">
      <x:c r="A1" s="20" t="str">
        <x:v>旧『材』系・複合材案の再査定 — KEEP / MOVE / DELAY</x:v>
      </x:c>
      <x:c r="B1" s="20"/>
      <x:c r="C1" s="20"/>
      <x:c r="D1" s="20"/>
      <x:c r="E1" s="20"/>
      <x:c r="F1" s="20"/>
      <x:c r="G1" s="20"/>
      <x:c r="H1" s="20"/>
      <x:c r="I1" s="20"/>
      <x:c r="J1" s="20"/>
      <x:c r="K1" s="20"/>
      <x:c r="L1" s="20"/>
      <x:c r="M1" s="21"/>
      <x:c r="N1" s="21"/>
      <x:c r="O1" s="21"/>
      <x:c r="P1" s="21"/>
      <x:c r="Q1" s="21"/>
      <x:c r="R1" s="21"/>
      <x:c r="S1" s="21"/>
      <x:c r="T1" s="21"/>
      <x:c r="U1" s="21"/>
      <x:c r="V1" s="21"/>
      <x:c r="W1" s="21"/>
      <x:c r="X1" s="21"/>
      <x:c r="Y1" s="21"/>
      <x:c r="Z1" s="21"/>
    </x:row>
    <x:row r="3">
      <x:c r="A3" s="11" t="str">
        <x:v>Legacy idea</x:v>
      </x:c>
      <x:c r="B3" s="11" t="str">
        <x:v>Old form</x:v>
      </x:c>
      <x:c r="C3" s="11" t="str">
        <x:v>Current verdict</x:v>
      </x:c>
      <x:c r="D3" s="11" t="str">
        <x:v>Earliest sensible start</x:v>
      </x:c>
      <x:c r="E3" s="11" t="str">
        <x:v>Earliest flight/use</x:v>
      </x:c>
      <x:c r="F3" s="11" t="str">
        <x:v>Why</x:v>
      </x:c>
      <x:c r="G3" s="11" t="str">
        <x:v>Keep</x:v>
      </x:c>
      <x:c r="H3" s="11" t="str">
        <x:v>Change</x:v>
      </x:c>
      <x:c r="I3" s="11" t="str">
        <x:v>Material gate</x:v>
      </x:c>
      <x:c r="J3" s="11" t="str">
        <x:v>Propulsion interaction</x:v>
      </x:c>
      <x:c r="K3" s="11" t="str">
        <x:v>Potential downstream</x:v>
      </x:c>
      <x:c r="L3" s="11" t="str">
        <x:v>Status</x:v>
      </x:c>
    </x:row>
    <x:row r="4">
      <x:c r="A4" s="16" t="str">
        <x:v>材一号</x:v>
      </x:c>
      <x:c r="B4" s="16" t="str">
        <x:v>STOL airframe with hemp-epoxy/paper-honeycomb structure; 1938–39 flight</x:v>
      </x:c>
      <x:c r="C4" s="16" t="str">
        <x:v>MOVE EARLIER / SPLIT</x:v>
      </x:c>
      <x:c r="D4" s="16" t="str">
        <x:v>1934–35 panels; 1935–36 full-size</x:v>
      </x:c>
      <x:c r="E4" s="16" t="str">
        <x:v>1936–37 partial-structure flight demo</x:v>
      </x:c>
      <x:c r="F4" s="16" t="str">
        <x:v>E5-era epoxy + plant-FRP + sandwich can support a conservative flight demonstrator before GFRP</x:v>
      </x:c>
      <x:c r="G4" s="16" t="str">
        <x:v>A/B same aerodynamics, proven engine × new structure</x:v>
      </x:c>
      <x:c r="H4" s="16" t="str">
        <x:v>do not make whole airframe composite; keep spar/gear/firewall conventional</x:v>
      </x:c>
      <x:c r="I4" s="16" t="str">
        <x:v>wet/fatigue/peel proof</x:v>
      </x:c>
      <x:c r="J4" s="16" t="str">
        <x:v>pairs naturally with E4/E5 TP and low-speed testbed</x:v>
      </x:c>
      <x:c r="K4" s="16" t="str">
        <x:v>STOL, transport, naval corrosion-resistant parts</x:v>
      </x:c>
      <x:c r="L4" s="16" t="str">
        <x:v>REWORK</x:v>
      </x:c>
    </x:row>
    <x:row r="5">
      <x:c r="A5" s="16" t="str">
        <x:v>材二号</x:v>
      </x:c>
      <x:c r="B5" s="16" t="str">
        <x:v>small E5 jet composite high-dynamic-pressure demonstrator; 1939–40</x:v>
      </x:c>
      <x:c r="C5" s="16" t="str">
        <x:v>MOVE EARLIER AS BONDED/SANDWICH, NOT GFRP</x:v>
      </x:c>
      <x:c r="D5" s="16" t="str">
        <x:v>1935–36 ground shell</x:v>
      </x:c>
      <x:c r="E5" s="16" t="str">
        <x:v>1937–38 flight if using plant-FRP/bonded hybrid</x:v>
      </x:c>
      <x:c r="F5" s="16" t="str">
        <x:v>pure-jet testbeds already exist; structural attribution can be clean</x:v>
      </x:c>
      <x:c r="G5" s="16" t="str">
        <x:v>high-q, flutter, thermal-boundary mission</x:v>
      </x:c>
      <x:c r="H5" s="16" t="str">
        <x:v>engine hot zone stays metal; wing main spar conventional; no glass requirement</x:v>
      </x:c>
      <x:c r="I5" s="16" t="str">
        <x:v>flutter + heat + wet fatigue</x:v>
      </x:c>
      <x:c r="J5" s="16" t="str">
        <x:v>E5-J gives ~550–600 km/h class suitable q</x:v>
      </x:c>
      <x:c r="K5" s="16" t="str">
        <x:v>later jet shell/wing-skin rules</x:v>
      </x:c>
      <x:c r="L5" s="16" t="str">
        <x:v>REWORK</x:v>
      </x:c>
    </x:row>
    <x:row r="6">
      <x:c r="A6" s="16" t="str">
        <x:v>All-GFRP primary aircraft</x:v>
      </x:c>
      <x:c r="B6" s="16" t="str">
        <x:v>broad early composite airframe</x:v>
      </x:c>
      <x:c r="C6" s="16" t="str">
        <x:v>DELAY</x:v>
      </x:c>
      <x:c r="D6" s="16" t="str">
        <x:v>1938 glass coupons</x:v>
      </x:c>
      <x:c r="E6" s="16" t="str">
        <x:v>1941–43 selected primary pieces</x:v>
      </x:c>
      <x:c r="F6" s="16" t="str">
        <x:v>continuous glass and coupling/wet-strength are hard clocks</x:v>
      </x:c>
      <x:c r="G6" s="16" t="str">
        <x:v>large secondary GFRP after 1939</x:v>
      </x:c>
      <x:c r="H6" s="16" t="str">
        <x:v>no blanket primary release</x:v>
      </x:c>
      <x:c r="I6" s="16" t="str">
        <x:v>glass/coupling/process repeatability</x:v>
      </x:c>
      <x:c r="J6" s="16" t="str">
        <x:v>helps jet smooth shells later</x:v>
      </x:c>
      <x:c r="K6" s="16" t="str">
        <x:v>post-1941 structural series</x:v>
      </x:c>
      <x:c r="L6" s="16" t="str">
        <x:v>GATED</x:v>
      </x:c>
    </x:row>
    <x:row r="7">
      <x:c r="A7" s="16" t="str">
        <x:v>CFRP fighter</x:v>
      </x:c>
      <x:c r="B7" s="16" t="str">
        <x:v>war-era broad carbon primary airframe</x:v>
      </x:c>
      <x:c r="C7" s="16" t="str">
        <x:v>DELAY / SEED ONLY</x:v>
      </x:c>
      <x:c r="D7" s="16" t="str">
        <x:v>late-1930s fiber/coupon</x:v>
      </x:c>
      <x:c r="E7" s="16" t="str">
        <x:v>1940s research aircraft, later real product</x:v>
      </x:c>
      <x:c r="F7" s="16" t="str">
        <x:v>furnace throughput, scatter, interfaces and fatigue dominate</x:v>
      </x:c>
      <x:c r="G7" s="16" t="str">
        <x:v>point stiffening/coupons</x:v>
      </x:c>
      <x:c r="H7" s="16" t="str">
        <x:v>do not consume E5 materials program with carbon fantasy</x:v>
      </x:c>
      <x:c r="I7" s="16" t="str">
        <x:v>fiber process + allowables</x:v>
      </x:c>
      <x:c r="J7" s="16" t="str">
        <x:v>not relevant to E5 product decisions</x:v>
      </x:c>
      <x:c r="K7" s="16" t="str">
        <x:v>later thin-wing/high-speed work</x:v>
      </x:c>
      <x:c r="L7" s="16" t="str">
        <x:v>SEED</x:v>
      </x:c>
    </x:row>
    <x:row r="8">
      <x:c r="A8" s="16" t="str">
        <x:v>Large composite transport</x:v>
      </x:c>
      <x:c r="B8" s="16" t="str">
        <x:v>large transport used to exploit non-corroding lightweight structure</x:v>
      </x:c>
      <x:c r="C8" s="16" t="str">
        <x:v>KEEP BUT HYBRIDIZE</x:v>
      </x:c>
      <x:c r="D8" s="16" t="str">
        <x:v>1935–36 structural sizing and full-scale subassemblies</x:v>
      </x:c>
      <x:c r="E8" s="16" t="str">
        <x:v>1937–39 prototype possible depending propulsion/company appetite</x:v>
      </x:c>
      <x:c r="F8" s="16" t="str">
        <x:v>large area magnifies bonded/sandwich labor/weight benefits even before GFRP</x:v>
      </x:c>
      <x:c r="G8" s="16" t="str">
        <x:v>large benign-volume mission, TP compatibility</x:v>
      </x:c>
      <x:c r="H8" s="16" t="str">
        <x:v>primary spars/gear conventional; composite fraction application-specific</x:v>
      </x:c>
      <x:c r="I8" s="16" t="str">
        <x:v>large cure/tooling/repair proof</x:v>
      </x:c>
      <x:c r="J8" s="16" t="str">
        <x:v>E5 TP×4 or later E6; can be capability-driven rather than mission-driven</x:v>
      </x:c>
      <x:c r="K8" s="16" t="str">
        <x:v>large logistics, bomber/recce derivatives if military chooses</x:v>
      </x:c>
      <x:c r="L8" s="16" t="str">
        <x:v>STRONG CANDIDATE</x:v>
      </x:c>
    </x:row>
    <x:row r="9">
      <x:c r="A9" s="16" t="str">
        <x:v>Enlarged fast '噴二号' structural demonstrator</x:v>
      </x:c>
      <x:c r="B9" s="16" t="str">
        <x:v>large relatively fast twin/quad testbed</x:v>
      </x:c>
      <x:c r="C9" s="16" t="str">
        <x:v>NEW/KEEP AS CAPABILITY-DRIVEN</x:v>
      </x:c>
      <x:c r="D9" s="16" t="str">
        <x:v>1935 design / 1936 structure</x:v>
      </x:c>
      <x:c r="E9" s="16" t="str">
        <x:v>1937–39 depending engines</x:v>
      </x:c>
      <x:c r="F9" s="16" t="str">
        <x:v>combines large-area smooth bonded structure with already-understood GT modularity</x:v>
      </x:c>
      <x:c r="G9" s="16" t="str">
        <x:v>systems payload, interchangeable propulsion philosophy</x:v>
      </x:c>
      <x:c r="H9" s="16" t="str">
        <x:v>do not force military mission; it is a flying laboratory / transport-capable demonstrator</x:v>
      </x:c>
      <x:c r="I9" s="16" t="str">
        <x:v>global stiffness, flutter, engine/fire separation</x:v>
      </x:c>
      <x:c r="J9" s="16" t="str">
        <x:v>E5 TP or mixed propulsion; later E6 variants</x:v>
      </x:c>
      <x:c r="K9" s="16" t="str">
        <x:v>large fast transport, long-range recce, material process parent</x:v>
      </x:c>
      <x:c r="L9" s="16" t="str">
        <x:v>VERY STRONG</x:v>
      </x:c>
    </x:row>
  </x:sheetData>
  <x:mergeCells>
    <x:mergeCell ref="A1:L1"/>
  </x:mergeCell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10" hidden="0" customWidth="1"/>
    <x:col min="3" max="3" width="10" hidden="0" customWidth="1"/>
    <x:col min="4" max="4" width="18" hidden="0" customWidth="1"/>
    <x:col min="5" max="5" width="16" hidden="0" customWidth="1"/>
    <x:col min="6" max="6" width="18" hidden="0" customWidth="1"/>
    <x:col min="7" max="7" width="38" hidden="0" customWidth="1"/>
    <x:col min="8" max="8" width="42" hidden="0" customWidth="1"/>
    <x:col min="9" max="9" width="38" hidden="0" customWidth="1"/>
    <x:col min="10" max="10" width="30" hidden="0" customWidth="1"/>
    <x:col min="11" max="11" width="38" hidden="0" customWidth="1"/>
    <x:col min="12" max="12" width="10" hidden="0" customWidth="1"/>
  </x:cols>
  <x:sheetData>
    <x:row r="1" ht="26" customHeight="1">
      <x:c r="A1" s="20" t="str">
        <x:v>構造実証ゲート — 『飛べた』から『使ってよい』まで</x:v>
      </x:c>
      <x:c r="B1" s="20"/>
      <x:c r="C1" s="20"/>
      <x:c r="D1" s="20"/>
      <x:c r="E1" s="20"/>
      <x:c r="F1" s="20"/>
      <x:c r="G1" s="20"/>
      <x:c r="H1" s="20"/>
      <x:c r="I1" s="20"/>
      <x:c r="J1" s="20"/>
      <x:c r="K1" s="20"/>
      <x:c r="L1" s="20"/>
      <x:c r="M1" s="21"/>
      <x:c r="N1" s="21"/>
      <x:c r="O1" s="21"/>
      <x:c r="P1" s="21"/>
      <x:c r="Q1" s="21"/>
      <x:c r="R1" s="21"/>
      <x:c r="S1" s="21"/>
      <x:c r="T1" s="21"/>
      <x:c r="U1" s="21"/>
      <x:c r="V1" s="21"/>
      <x:c r="W1" s="21"/>
      <x:c r="X1" s="21"/>
      <x:c r="Y1" s="21"/>
      <x:c r="Z1" s="21"/>
    </x:row>
    <x:row r="3">
      <x:c r="A3" s="11" t="str">
        <x:v>Gate</x:v>
      </x:c>
      <x:c r="B3" s="11" t="str">
        <x:v>Coupon</x:v>
      </x:c>
      <x:c r="C3" s="11" t="str">
        <x:v>Panel</x:v>
      </x:c>
      <x:c r="D3" s="11" t="str">
        <x:v>Full-size article</x:v>
      </x:c>
      <x:c r="E3" s="11" t="str">
        <x:v>Flight article</x:v>
      </x:c>
      <x:c r="F3" s="11" t="str">
        <x:v>Duration</x:v>
      </x:c>
      <x:c r="G3" s="11" t="str">
        <x:v>Key metric</x:v>
      </x:c>
      <x:c r="H3" s="11" t="str">
        <x:v>Pass concept</x:v>
      </x:c>
      <x:c r="I3" s="11" t="str">
        <x:v>Failure fallback</x:v>
      </x:c>
      <x:c r="J3" s="11" t="str">
        <x:v>Allows next</x:v>
      </x:c>
      <x:c r="K3" s="11" t="str">
        <x:v>Does NOT allow</x:v>
      </x:c>
      <x:c r="L3" s="11" t="str">
        <x:v>Priority</x:v>
      </x:c>
    </x:row>
    <x:row r="4">
      <x:c r="A4" s="16" t="str">
        <x:v>G0 chemistry/process</x:v>
      </x:c>
      <x:c r="B4" s="16" t="str">
        <x:v>YES</x:v>
      </x:c>
      <x:c r="C4" s="16" t="str">
        <x:v>NO</x:v>
      </x:c>
      <x:c r="D4" s="16" t="str">
        <x:v>NO</x:v>
      </x:c>
      <x:c r="E4" s="16" t="str">
        <x:v>NO</x:v>
      </x:c>
      <x:c r="F4" s="16" t="str">
        <x:v>weeks-months</x:v>
      </x:c>
      <x:c r="G4" s="16" t="str">
        <x:v>resin cure, bond shear/peel, heat/fuel resistance</x:v>
      </x:c>
      <x:c r="H4" s="16" t="str">
        <x:v>repeatable batch/process</x:v>
      </x:c>
      <x:c r="I4" s="16" t="str">
        <x:v>seal/tooling only</x:v>
      </x:c>
      <x:c r="J4" s="16" t="str">
        <x:v>G1 panel</x:v>
      </x:c>
      <x:c r="K4" s="16" t="str">
        <x:v>aircraft structure</x:v>
      </x:c>
      <x:c r="L4" s="16" t="str">
        <x:v>1</x:v>
      </x:c>
    </x:row>
    <x:row r="5">
      <x:c r="A5" s="16" t="str">
        <x:v>G1 panel</x:v>
      </x:c>
      <x:c r="B5" s="16" t="str">
        <x:v>YES</x:v>
      </x:c>
      <x:c r="C5" s="16" t="str">
        <x:v>YES</x:v>
      </x:c>
      <x:c r="D5" s="16" t="str">
        <x:v>NO</x:v>
      </x:c>
      <x:c r="E5" s="16" t="str">
        <x:v>NO</x:v>
      </x:c>
      <x:c r="F5" s="16" t="str">
        <x:v>months</x:v>
      </x:c>
      <x:c r="G5" s="16" t="str">
        <x:v>buckling, core shear, edge insert, wet retention</x:v>
      </x:c>
      <x:c r="H5" s="16" t="str">
        <x:v>wet strength/peel/fatigue above part-specific floor</x:v>
      </x:c>
      <x:c r="I5" s="16" t="str">
        <x:v>secondary nonload parts</x:v>
      </x:c>
      <x:c r="J5" s="16" t="str">
        <x:v>G2 full-size</x:v>
      </x:c>
      <x:c r="K5" s="16" t="str">
        <x:v>primary structure</x:v>
      </x:c>
      <x:c r="L5" s="16" t="str">
        <x:v>1</x:v>
      </x:c>
    </x:row>
    <x:row r="6">
      <x:c r="A6" s="16" t="str">
        <x:v>G2 full-size structure</x:v>
      </x:c>
      <x:c r="B6" s="16" t="str">
        <x:v>YES</x:v>
      </x:c>
      <x:c r="C6" s="16" t="str">
        <x:v>YES</x:v>
      </x:c>
      <x:c r="D6" s="16" t="str">
        <x:v>YES</x:v>
      </x:c>
      <x:c r="E6" s="16" t="str">
        <x:v>NO</x:v>
      </x:c>
      <x:c r="F6" s="16" t="str">
        <x:v>months-year</x:v>
      </x:c>
      <x:c r="G6" s="16" t="str">
        <x:v>ultimate load, stiffness, torsion, repair, production hours</x:v>
      </x:c>
      <x:c r="H6" s="16" t="str">
        <x:v>load proof + process capability + repair procedure</x:v>
      </x:c>
      <x:c r="I6" s="16" t="str">
        <x:v>keep conventional load path</x:v>
      </x:c>
      <x:c r="J6" s="16" t="str">
        <x:v>G3 flight</x:v>
      </x:c>
      <x:c r="K6" s="16" t="str">
        <x:v>serial fleet use</x:v>
      </x:c>
      <x:c r="L6" s="16" t="str">
        <x:v>1</x:v>
      </x:c>
    </x:row>
    <x:row r="7">
      <x:c r="A7" s="16" t="str">
        <x:v>G3 flight envelope</x:v>
      </x:c>
      <x:c r="B7" s="16" t="str">
        <x:v>YES</x:v>
      </x:c>
      <x:c r="C7" s="16" t="str">
        <x:v>YES</x:v>
      </x:c>
      <x:c r="D7" s="16" t="str">
        <x:v>YES</x:v>
      </x:c>
      <x:c r="E7" s="16" t="str">
        <x:v>YES</x:v>
      </x:c>
      <x:c r="F7" s="16" t="str">
        <x:v>100s flight h</x:v>
      </x:c>
      <x:c r="G7" s="16" t="str">
        <x:v>flutter, vibration, heat, leaks, environmental aging</x:v>
      </x:c>
      <x:c r="H7" s="16" t="str">
        <x:v>stable envelope and no bond degradation trend</x:v>
      </x:c>
      <x:c r="I7" s="16" t="str">
        <x:v>limit speed/mission or secondary-only</x:v>
      </x:c>
      <x:c r="J7" s="16" t="str">
        <x:v>limited application</x:v>
      </x:c>
      <x:c r="K7" s="16" t="str">
        <x:v>blanket release</x:v>
      </x:c>
      <x:c r="L7" s="16" t="str">
        <x:v>1</x:v>
      </x:c>
    </x:row>
    <x:row r="8">
      <x:c r="A8" s="16" t="str">
        <x:v>G4 fleet exposure</x:v>
      </x:c>
      <x:c r="B8" s="16" t="str">
        <x:v>YES</x:v>
      </x:c>
      <x:c r="C8" s="16" t="str">
        <x:v>YES</x:v>
      </x:c>
      <x:c r="D8" s="16" t="str">
        <x:v>YES</x:v>
      </x:c>
      <x:c r="E8" s="16" t="str">
        <x:v>multiple aircraft</x:v>
      </x:c>
      <x:c r="F8" s="16" t="str">
        <x:v>1–3 years</x:v>
      </x:c>
      <x:c r="G8" s="16" t="str">
        <x:v>humidity, salt, fatigue, field repair, inspection escapes</x:v>
      </x:c>
      <x:c r="H8" s="16" t="str">
        <x:v>acceptable in-service degradation and repair rate</x:v>
      </x:c>
      <x:c r="I8" s="16" t="str">
        <x:v>restrict geography/part type</x:v>
      </x:c>
      <x:c r="J8" s="16" t="str">
        <x:v>serial selected use</x:v>
      </x:c>
      <x:c r="K8" s="16" t="str">
        <x:v>new primary-load family</x:v>
      </x:c>
      <x:c r="L8" s="16" t="str">
        <x:v>2</x:v>
      </x:c>
    </x:row>
    <x:row r="9">
      <x:c r="A9" s="16" t="str">
        <x:v>G5 primary structure</x:v>
      </x:c>
      <x:c r="B9" s="16" t="str">
        <x:v>YES</x:v>
      </x:c>
      <x:c r="C9" s="16" t="str">
        <x:v>YES</x:v>
      </x:c>
      <x:c r="D9" s="16" t="str">
        <x:v>YES</x:v>
      </x:c>
      <x:c r="E9" s="16" t="str">
        <x:v>YES</x:v>
      </x:c>
      <x:c r="F9" s="16" t="str">
        <x:v>multi-year</x:v>
      </x:c>
      <x:c r="G9" s="16" t="str">
        <x:v>scatter allowables, fail-safe, joint damage tolerance</x:v>
      </x:c>
      <x:c r="H9" s="16" t="str">
        <x:v>specific part meets conventional safety factor and inspection regime</x:v>
      </x:c>
      <x:c r="I9" s="16" t="str">
        <x:v>hybridize with metal/wood</x:v>
      </x:c>
      <x:c r="J9" s="16" t="str">
        <x:v>selected primary load path</x:v>
      </x:c>
      <x:c r="K9" s="16" t="str">
        <x:v>all-composite aircraft</x:v>
      </x:c>
      <x:c r="L9" s="16" t="str">
        <x:v>3</x:v>
      </x:c>
    </x:row>
  </x:sheetData>
  <x:mergeCells>
    <x:mergeCell ref="A1:L1"/>
  </x:mergeCells>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26" hidden="0" customWidth="1"/>
    <x:col min="3" max="3" width="48" hidden="0" customWidth="1"/>
    <x:col min="4" max="4" width="42" hidden="0" customWidth="1"/>
    <x:col min="5" max="5" width="30" hidden="0" customWidth="1"/>
    <x:col min="6" max="6" width="16" hidden="0" customWidth="1"/>
    <x:col min="7" max="7" width="54" hidden="0" customWidth="1"/>
    <x:col min="8" max="8" width="46" hidden="0" customWidth="1"/>
  </x:cols>
  <x:sheetData>
    <x:row r="1" ht="26" customHeight="1">
      <x:c r="A1" s="20" t="str">
        <x:v>正本・旧台帳からの根拠クロスウォーク</x:v>
      </x:c>
      <x:c r="B1" s="20"/>
      <x:c r="C1" s="20"/>
      <x:c r="D1" s="20"/>
      <x:c r="E1" s="20"/>
      <x:c r="F1" s="20"/>
      <x:c r="G1" s="20"/>
      <x:c r="H1" s="20"/>
      <x:c r="I1" s="21"/>
      <x:c r="J1" s="21"/>
      <x:c r="K1" s="21"/>
      <x:c r="L1" s="21"/>
      <x:c r="M1" s="21"/>
      <x:c r="N1" s="21"/>
      <x:c r="O1" s="21"/>
      <x:c r="P1" s="21"/>
      <x:c r="Q1" s="21"/>
      <x:c r="R1" s="21"/>
      <x:c r="S1" s="21"/>
      <x:c r="T1" s="21"/>
      <x:c r="U1" s="21"/>
      <x:c r="V1" s="21"/>
      <x:c r="W1" s="21"/>
      <x:c r="X1" s="21"/>
      <x:c r="Y1" s="21"/>
      <x:c r="Z1" s="21"/>
    </x:row>
    <x:row r="3">
      <x:c r="A3" s="11" t="str">
        <x:v>Source</x:v>
      </x:c>
      <x:c r="B3" s="11" t="str">
        <x:v>Topic</x:v>
      </x:c>
      <x:c r="C3" s="11" t="str">
        <x:v>Retained authority</x:v>
      </x:c>
      <x:c r="D3" s="11" t="str">
        <x:v>What is superseded</x:v>
      </x:c>
      <x:c r="E3" s="11" t="str">
        <x:v>Use in V2-COST</x:v>
      </x:c>
      <x:c r="F3" s="11" t="str">
        <x:v>Confidence</x:v>
      </x:c>
      <x:c r="G3" s="11" t="str">
        <x:v>Local path/reference</x:v>
      </x:c>
      <x:c r="H3" s="11" t="str">
        <x:v>Notes</x:v>
      </x:c>
    </x:row>
    <x:row r="4">
      <x:c r="A4" s="16" t="str">
        <x:v>asai-works-materials-resin.md</x:v>
      </x:c>
      <x:c r="B4" s="16" t="str">
        <x:v>epoxy/material clock</x:v>
      </x:c>
      <x:c r="C4" s="16" t="str">
        <x:v>epoxy internal synthesis 1931–33; mid-30s small products; plant FRP; paper honeycomb; bonded metal logic</x:v>
      </x:c>
      <x:c r="D4" s="16" t="str">
        <x:v>old downstream aircraft timing where it conflicts with current aviation chronology</x:v>
      </x:c>
      <x:c r="E4" s="16" t="str">
        <x:v>main material/process clock</x:v>
      </x:c>
      <x:c r="F4" s="16" t="str">
        <x:v>HIGH</x:v>
      </x:c>
      <x:c r="G4" s="16" t="str">
        <x:v>source-restored/main/asai-works-materials-resin.md</x:v>
      </x:c>
      <x:c r="H4" s="16" t="str">
        <x:v>Epoxy is low-pressure processing enabler; continuous glass ~1938; wet-strength structural GFRP 1941–43</x:v>
      </x:c>
    </x:row>
    <x:row r="5">
      <x:c r="A5" s="16" t="str">
        <x:v>asai-works-structural-testbeds.md</x:v>
      </x:c>
      <x:c r="B5" s="16" t="str">
        <x:v>材一号/材二号</x:v>
      </x:c>
      <x:c r="C5" s="16" t="str">
        <x:v>proven-engine × new-structure attribution; plant-FRP/paper-honeycomb physics; one-digit aircraft weight benefit</x:v>
      </x:c>
      <x:c r="D5" s="16" t="str">
        <x:v>old 1938–40 timing and old E5 engine assumptions</x:v>
      </x:c>
      <x:c r="E5" s="16" t="str">
        <x:v>legacy testbed concept only</x:v>
      </x:c>
      <x:c r="F5" s="16" t="str">
        <x:v>MEDIUM-HIGH</x:v>
      </x:c>
      <x:c r="G5" s="16" t="str">
        <x:v>source-restored/main/asai-works-structural-testbeds.md</x:v>
      </x:c>
      <x:c r="H5" s="16" t="str">
        <x:v>Current V2-COST allows earlier E5-era pre-GFRP bonded/sandwich flight work</x:v>
      </x:c>
    </x:row>
    <x:row r="6">
      <x:c r="A6" s="16" t="str">
        <x:v>ASAI-UPSTREAM-REBASELINE-1934-41</x:v>
      </x:c>
      <x:c r="B6" s="16" t="str">
        <x:v>current capability restraint</x:v>
      </x:c>
      <x:c r="C6" s="16" t="str">
        <x:v>1941 epoxy/bonding real small-series; GFRP secondary/semi-structural; no blanket primary structure</x:v>
      </x:c>
      <x:c r="D6" s="16" t="str">
        <x:v>none</x:v>
      </x:c>
      <x:c r="E6" s="16" t="str">
        <x:v>hard guardrail</x:v>
      </x:c>
      <x:c r="F6" s="16" t="str">
        <x:v>HIGH</x:v>
      </x:c>
      <x:c r="G6" s="16" t="str">
        <x:v>/mnt/data/asai_upstream_rebaseline_1934_41/ASAI-UPSTREAM-REBASELINE-1934-41.md</x:v>
      </x:c>
      <x:c r="H6" s="16" t="str">
        <x:v>Use as anti-omniscience/anti-miracle gate</x:v>
      </x:c>
    </x:row>
    <x:row r="7">
      <x:c r="A7" s="16" t="str">
        <x:v>ASAI-1941-CAPACITY-ENVELOPE</x:v>
      </x:c>
      <x:c r="B7" s="16" t="str">
        <x:v>industrial capacity</x:v>
      </x:c>
      <x:c r="C7" s="16" t="str">
        <x:v>FRP molds/vacuum process can open separate labor pool; tooling/QC bottleneck retained</x:v>
      </x:c>
      <x:c r="D7" s="16" t="str">
        <x:v>none</x:v>
      </x:c>
      <x:c r="E7" s="16" t="str">
        <x:v>production scaling</x:v>
      </x:c>
      <x:c r="F7" s="16" t="str">
        <x:v>HIGH</x:v>
      </x:c>
      <x:c r="G7" s="16" t="str">
        <x:v>/mnt/data/asai_capacity_envelope_1941_v2/ASAI-1941-CAPACITY-ENVELOPE.md</x:v>
      </x:c>
      <x:c r="H7" s="16" t="str">
        <x:v>No generic output multiplier</x:v>
      </x:c>
    </x:row>
    <x:row r="8">
      <x:c r="A8" s="16" t="str">
        <x:v>Protagonist scope V10</x:v>
      </x:c>
      <x:c r="B8" s="16" t="str">
        <x:v>knowledge/authority</x:v>
      </x:c>
      <x:c r="C8" s="16" t="str">
        <x:v>epoxy/FRP K1, I2 spec-pull; knows desired properties and failure modes, not exact chemistry</x:v>
      </x:c>
      <x:c r="D8" s="16" t="str">
        <x:v>none</x:v>
      </x:c>
      <x:c r="E8" s="16" t="str">
        <x:v>intervention style</x:v>
      </x:c>
      <x:c r="F8" s="16" t="str">
        <x:v>HIGH</x:v>
      </x:c>
      <x:c r="G8" s="16" t="str">
        <x:v>/mnt/data/asai_protagonist_scope_v10/PROTAGONIST-KNOWLEDGE-AUTHORITY-BUSINESS-SCOPE-V10.md</x:v>
      </x:c>
      <x:c r="H8" s="16" t="str">
        <x:v>Critical to worldline causality</x:v>
      </x:c>
    </x:row>
  </x:sheetData>
  <x:mergeCells>
    <x:mergeCell ref="A1:H1"/>
  </x:mergeCells>
  <x:pageMargins left="0.7" right="0.7" top="0.75" bottom="0.75" header="0.3" footer="0.3"/>
</x:worksheet>
</file>

<file path=xl/worksheets/sheet10.xml><?xml version="1.0" encoding="utf-8"?>
<x:worksheet xmlns:x="http://schemas.openxmlformats.org/spreadsheetml/2006/main">
  <x:sheetFormatPr defaultRowHeight="15"/>
  <x:cols>
    <x:col min="1" max="1" width="30" hidden="0" customWidth="1"/>
    <x:col min="2" max="2" width="22" hidden="0" customWidth="1"/>
    <x:col min="3" max="3" width="22" hidden="0" customWidth="1"/>
    <x:col min="4" max="4" width="22" hidden="0" customWidth="1"/>
    <x:col min="5" max="5" width="22" hidden="0" customWidth="1"/>
    <x:col min="6" max="6" width="24" hidden="0" customWidth="1"/>
    <x:col min="7" max="7" width="22" hidden="0" customWidth="1"/>
    <x:col min="8" max="8" width="32" hidden="0" customWidth="1"/>
    <x:col min="9" max="9" width="38" hidden="0" customWidth="1"/>
    <x:col min="10" max="10" width="22" hidden="0" customWidth="1"/>
  </x:cols>
  <x:sheetData>
    <x:row r="1" ht="26" customHeight="1">
      <x:c r="A1" s="20" t="str">
        <x:v>E5期（1934–37）複合構造の実際の能力 — 一枚まとめ</x:v>
      </x:c>
      <x:c r="B1" s="20"/>
      <x:c r="C1" s="20"/>
      <x:c r="D1" s="20"/>
      <x:c r="E1" s="20"/>
      <x:c r="F1" s="20"/>
      <x:c r="G1" s="20"/>
      <x:c r="H1" s="20"/>
      <x:c r="I1" s="20"/>
      <x:c r="J1" s="20"/>
      <x:c r="K1" s="21"/>
      <x:c r="L1" s="21"/>
      <x:c r="M1" s="21"/>
      <x:c r="N1" s="21"/>
      <x:c r="O1" s="21"/>
      <x:c r="P1" s="21"/>
      <x:c r="Q1" s="21"/>
      <x:c r="R1" s="21"/>
      <x:c r="S1" s="21"/>
      <x:c r="T1" s="21"/>
      <x:c r="U1" s="21"/>
      <x:c r="V1" s="21"/>
      <x:c r="W1" s="21"/>
      <x:c r="X1" s="21"/>
      <x:c r="Y1" s="21"/>
      <x:c r="Z1" s="21"/>
    </x:row>
    <x:row r="3">
      <x:c r="A3" s="11" t="str">
        <x:v>Area</x:v>
      </x:c>
      <x:c r="B3" s="11" t="str">
        <x:v>1934</x:v>
      </x:c>
      <x:c r="C3" s="11" t="str">
        <x:v>1935</x:v>
      </x:c>
      <x:c r="D3" s="11" t="str">
        <x:v>1936</x:v>
      </x:c>
      <x:c r="E3" s="11" t="str">
        <x:v>1937</x:v>
      </x:c>
      <x:c r="F3" s="11" t="str">
        <x:v>Can fly?</x:v>
      </x:c>
      <x:c r="G3" s="11" t="str">
        <x:v>Can serialize?</x:v>
      </x:c>
      <x:c r="H3" s="11" t="str">
        <x:v>Large-aircraft relevance</x:v>
      </x:c>
      <x:c r="I3" s="11" t="str">
        <x:v>Main blocker</x:v>
      </x:c>
      <x:c r="J3" s="11" t="str">
        <x:v>Verdict</x:v>
      </x:c>
    </x:row>
    <x:row r="4">
      <x:c r="A4" s="16" t="str">
        <x:v>Epoxy adhesive</x:v>
      </x:c>
      <x:c r="B4" s="16" t="str">
        <x:v>small practical</x:v>
      </x:c>
      <x:c r="C4" s="16" t="str">
        <x:v>small serial</x:v>
      </x:c>
      <x:c r="D4" s="16" t="str">
        <x:v>maturing</x:v>
      </x:c>
      <x:c r="E4" s="16" t="str">
        <x:v>maturing</x:v>
      </x:c>
      <x:c r="F4" s="16" t="str">
        <x:v>YES as joints/secondary</x:v>
      </x:c>
      <x:c r="G4" s="16" t="str">
        <x:v>YES selected</x:v>
      </x:c>
      <x:c r="H4" s="16" t="str">
        <x:v>VERY HIGH</x:v>
      </x:c>
      <x:c r="I4" s="16" t="str">
        <x:v>wet/peel/fatigue/process</x:v>
      </x:c>
      <x:c r="J4" s="16" t="str">
        <x:v>USE NOW</x:v>
      </x:c>
    </x:row>
    <x:row r="5">
      <x:c r="A5" s="16" t="str">
        <x:v>Plant-FRP molded parts</x:v>
      </x:c>
      <x:c r="B5" s="16" t="str">
        <x:v>prototype</x:v>
      </x:c>
      <x:c r="C5" s="16" t="str">
        <x:v>limited</x:v>
      </x:c>
      <x:c r="D5" s="16" t="str">
        <x:v>large prototype</x:v>
      </x:c>
      <x:c r="E5" s="16" t="str">
        <x:v>flight-demo scale</x:v>
      </x:c>
      <x:c r="F5" s="16" t="str">
        <x:v>YES</x:v>
      </x:c>
      <x:c r="G5" s="16" t="str">
        <x:v>selected secondary</x:v>
      </x:c>
      <x:c r="H5" s="16" t="str">
        <x:v>HIGH</x:v>
      </x:c>
      <x:c r="I5" s="16" t="str">
        <x:v>moisture/scatter</x:v>
      </x:c>
      <x:c r="J5" s="16" t="str">
        <x:v>USE NOW</x:v>
      </x:c>
    </x:row>
    <x:row r="6">
      <x:c r="A6" s="16" t="str">
        <x:v>Paper-honeycomb sandwich</x:v>
      </x:c>
      <x:c r="B6" s="16" t="str">
        <x:v>coupon/panel</x:v>
      </x:c>
      <x:c r="C6" s="16" t="str">
        <x:v>full panel</x:v>
      </x:c>
      <x:c r="D6" s="16" t="str">
        <x:v>full-size structure</x:v>
      </x:c>
      <x:c r="E6" s="16" t="str">
        <x:v>flight demo</x:v>
      </x:c>
      <x:c r="F6" s="16" t="str">
        <x:v>YES</x:v>
      </x:c>
      <x:c r="G6" s="16" t="str">
        <x:v>prototype/selected</x:v>
      </x:c>
      <x:c r="H6" s="16" t="str">
        <x:v>VERY HIGH</x:v>
      </x:c>
      <x:c r="I6" s="16" t="str">
        <x:v>edge/hardpoint/wet durability</x:v>
      </x:c>
      <x:c r="J6" s="16" t="str">
        <x:v>E5 CORE</x:v>
      </x:c>
    </x:row>
    <x:row r="7">
      <x:c r="A7" s="16" t="str">
        <x:v>Bonded metal hybrid</x:v>
      </x:c>
      <x:c r="B7" s="16" t="str">
        <x:v>coupon/repair</x:v>
      </x:c>
      <x:c r="C7" s="16" t="str">
        <x:v>doublers/joints</x:v>
      </x:c>
      <x:c r="D7" s="16" t="str">
        <x:v>full-size joints</x:v>
      </x:c>
      <x:c r="E7" s="16" t="str">
        <x:v>flight demo selected</x:v>
      </x:c>
      <x:c r="F7" s="16" t="str">
        <x:v>YES</x:v>
      </x:c>
      <x:c r="G7" s="16" t="str">
        <x:v>selected</x:v>
      </x:c>
      <x:c r="H7" s="16" t="str">
        <x:v>VERY HIGH</x:v>
      </x:c>
      <x:c r="I7" s="16" t="str">
        <x:v>surface prep/inspection</x:v>
      </x:c>
      <x:c r="J7" s="16" t="str">
        <x:v>E5 CORE</x:v>
      </x:c>
    </x:row>
    <x:row r="8">
      <x:c r="A8" s="16" t="str">
        <x:v>GFRP</x:v>
      </x:c>
      <x:c r="B8" s="16" t="str">
        <x:v>NO structural</x:v>
      </x:c>
      <x:c r="C8" s="16" t="str">
        <x:v>NO structural</x:v>
      </x:c>
      <x:c r="D8" s="16" t="str">
        <x:v>NO structural</x:v>
      </x:c>
      <x:c r="E8" s="16" t="str">
        <x:v>NO structural</x:v>
      </x:c>
      <x:c r="F8" s="16" t="str">
        <x:v>NO for structural</x:v>
      </x:c>
      <x:c r="G8" s="16" t="str">
        <x:v>NO</x:v>
      </x:c>
      <x:c r="H8" s="16" t="str">
        <x:v>future high</x:v>
      </x:c>
      <x:c r="I8" s="16" t="str">
        <x:v>continuous glass/coupling</x:v>
      </x:c>
      <x:c r="J8" s="16" t="str">
        <x:v>WAIT</x:v>
      </x:c>
    </x:row>
    <x:row r="9">
      <x:c r="A9" s="16" t="str">
        <x:v>Large hybrid airframe</x:v>
      </x:c>
      <x:c r="B9" s="16" t="str">
        <x:v>ground concept</x:v>
      </x:c>
      <x:c r="C9" s="16" t="str">
        <x:v>full-size sections</x:v>
      </x:c>
      <x:c r="D9" s="16" t="str">
        <x:v>prototype structure</x:v>
      </x:c>
      <x:c r="E9" s="16" t="str">
        <x:v>flight prototype plausible</x:v>
      </x:c>
      <x:c r="F9" s="16" t="str">
        <x:v>YES if conventional primary retained</x:v>
      </x:c>
      <x:c r="G9" s="16" t="str">
        <x:v>prototype only</x:v>
      </x:c>
      <x:c r="H9" s="16" t="str">
        <x:v>EXTREME</x:v>
      </x:c>
      <x:c r="I9" s="16" t="str">
        <x:v>factory/mold/repair/global loads</x:v>
      </x:c>
      <x:c r="J9" s="16" t="str">
        <x:v>STRONG PROGRAM</x:v>
      </x:c>
    </x:row>
    <x:row r="10">
      <x:c r="A10" s="16" t="str">
        <x:v>All-composite primary airframe</x:v>
      </x:c>
      <x:c r="B10" s="16" t="str">
        <x:v>NO</x:v>
      </x:c>
      <x:c r="C10" s="16" t="str">
        <x:v>NO</x:v>
      </x:c>
      <x:c r="D10" s="16" t="str">
        <x:v>NO</x:v>
      </x:c>
      <x:c r="E10" s="16" t="str">
        <x:v>NO</x:v>
      </x:c>
      <x:c r="F10" s="16" t="str">
        <x:v>NO</x:v>
      </x:c>
      <x:c r="G10" s="16" t="str">
        <x:v>NO</x:v>
      </x:c>
      <x:c r="H10" s="16" t="str">
        <x:v>future</x:v>
      </x:c>
      <x:c r="I10" s="16" t="str">
        <x:v>primary allowables + glass clock</x:v>
      </x:c>
      <x:c r="J10" s="16" t="str">
        <x:v>DO NOT</x:v>
      </x:c>
    </x:row>
  </x:sheetData>
  <x:mergeCells>
    <x:mergeCell ref="A1:J1"/>
  </x:mergeCells>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22" hidden="0" customWidth="1"/>
    <x:col min="3" max="3" width="10" hidden="0" customWidth="1"/>
    <x:col min="4" max="4" width="10" hidden="0" customWidth="1"/>
    <x:col min="5" max="5" width="20" hidden="0" customWidth="1"/>
    <x:col min="6" max="6" width="62" hidden="0" customWidth="1"/>
    <x:col min="7" max="7" width="18" hidden="0" customWidth="1"/>
    <x:col min="8" max="8" width="19" hidden="0" customWidth="1"/>
    <x:col min="9" max="9" width="19" hidden="0" customWidth="1"/>
    <x:col min="10" max="10" width="16" hidden="0" customWidth="1"/>
    <x:col min="11" max="11" width="16" hidden="0" customWidth="1"/>
    <x:col min="12" max="12" width="16" hidden="0" customWidth="1"/>
    <x:col min="13" max="13" width="17" hidden="0" customWidth="1"/>
    <x:col min="14" max="14" width="22" hidden="0" customWidth="1"/>
    <x:col min="15" max="15" width="20" hidden="0" customWidth="1"/>
    <x:col min="16" max="16" width="52" hidden="0" customWidth="1"/>
    <x:col min="17" max="17" width="20" hidden="0" customWidth="1"/>
  </x:cols>
  <x:sheetData>
    <x:row r="1" ht="26" customHeight="1">
      <x:c r="A1" s="27" t="str">
        <x:v>材一・二・三号 価格モデル — 名目当時円、インフレ補正前</x:v>
      </x:c>
      <x:c r="B1" s="27"/>
      <x:c r="C1" s="27"/>
      <x:c r="D1" s="27"/>
      <x:c r="E1" s="27"/>
      <x:c r="F1" s="27"/>
      <x:c r="G1" s="27"/>
      <x:c r="H1" s="27"/>
      <x:c r="I1" s="27"/>
      <x:c r="J1" s="27"/>
      <x:c r="K1" s="27"/>
      <x:c r="L1" s="27"/>
      <x:c r="M1" s="27"/>
      <x:c r="N1" s="27"/>
      <x:c r="O1" s="27"/>
      <x:c r="P1" s="27"/>
      <x:c r="Q1" s="27"/>
    </x:row>
    <x:row r="3">
      <x:c r="A3" s="31" t="str">
        <x:v>Aircraft</x:v>
      </x:c>
      <x:c r="B3" s="31" t="str">
        <x:v>Stage</x:v>
      </x:c>
      <x:c r="C3" s="31" t="str">
        <x:v>Qty basis</x:v>
      </x:c>
      <x:c r="D3" s="31" t="str">
        <x:v>Engines</x:v>
      </x:c>
      <x:c r="E3" s="31" t="str">
        <x:v>Engine regime</x:v>
      </x:c>
      <x:c r="F3" s="31" t="str">
        <x:v>Engine cost ¥k</x:v>
      </x:c>
      <x:c r="G3" s="31" t="str">
        <x:v>Airframe recurring ¥k</x:v>
      </x:c>
      <x:c r="H3" s="31" t="str">
        <x:v>Dedicated tooling/jigs ¥k</x:v>
      </x:c>
      <x:c r="I3" s="31" t="str">
        <x:v>Tooling amort. ¥k/unit</x:v>
      </x:c>
      <x:c r="J3" s="31" t="str">
        <x:v>QC/rework reserve ¥k</x:v>
      </x:c>
      <x:c r="K3" s="31" t="str">
        <x:v>Flyaway ¥k/unit</x:v>
      </x:c>
      <x:c r="L3" s="31" t="str">
        <x:v>Program NRE ¥k</x:v>
      </x:c>
      <x:c r="M3" s="31" t="str">
        <x:v>Program total ¥k</x:v>
      </x:c>
      <x:c r="N3" s="31" t="str">
        <x:v>Conventional riveted equivalent ¥k/unit</x:v>
      </x:c>
      <x:c r="O3" s="31" t="str">
        <x:v>Composite vs conventional</x:v>
      </x:c>
      <x:c r="P3" s="31" t="str">
        <x:v>What drives this stage</x:v>
      </x:c>
      <x:c r="Q3" s="31" t="str">
        <x:v>Status</x:v>
      </x:c>
    </x:row>
    <x:row r="4">
      <x:c r="A4" s="16" t="str">
        <x:v>材一号</x:v>
      </x:c>
      <x:c r="B4" s="16" t="str">
        <x:v>Prototype / flight article</x:v>
      </x:c>
      <x:c r="C4" s="16" t="n">
        <x:v>1</x:v>
      </x:c>
      <x:c r="D4" s="16" t="n">
        <x:v>1</x:v>
      </x:c>
      <x:c r="E4" s="16" t="str">
        <x:v>current low-rate</x:v>
      </x:c>
      <x:c r="F4" s="35" t="n">
        <x:v>51</x:v>
      </x:c>
      <x:c r="G4" s="35" t="n">
        <x:v>62</x:v>
      </x:c>
      <x:c r="H4" s="35" t="n">
        <x:v>18</x:v>
      </x:c>
      <x:c r="I4" s="35" t="n">
        <x:v>18</x:v>
      </x:c>
      <x:c r="J4" s="35" t="n">
        <x:v>10</x:v>
      </x:c>
      <x:c r="K4" s="36" t="n">
        <x:f>F4+G4+I4+J4</x:f>
        <x:v>141</x:v>
      </x:c>
      <x:c r="L4" s="35" t="n">
        <x:v>190</x:v>
      </x:c>
      <x:c r="M4" s="36" t="n">
        <x:f>L4+C4*K4</x:f>
        <x:v>331</x:v>
      </x:c>
      <x:c r="N4" s="35" t="n">
        <x:v>85</x:v>
      </x:c>
      <x:c r="O4" s="37" t="n">
        <x:f>K4/N4-1</x:f>
        <x:v>0.6588235294117648</x:v>
      </x:c>
      <x:c r="P4" s="16" t="str">
        <x:v>soft molds + hand fit + destructive process coupons; production method not yet optimized</x:v>
      </x:c>
      <x:c r="Q4" s="16" t="str">
        <x:v>DERIVED-WORKING</x:v>
      </x:c>
    </x:row>
    <x:row r="5">
      <x:c r="A5" s="16" t="str">
        <x:v>材一号</x:v>
      </x:c>
      <x:c r="B5" s="16" t="str">
        <x:v>Evaluation batch</x:v>
      </x:c>
      <x:c r="C5" s="16" t="n">
        <x:v>5</x:v>
      </x:c>
      <x:c r="D5" s="16" t="n">
        <x:v>1</x:v>
      </x:c>
      <x:c r="E5" s="16" t="str">
        <x:v>current→single-type</x:v>
      </x:c>
      <x:c r="F5" s="35" t="n">
        <x:v>44</x:v>
      </x:c>
      <x:c r="G5" s="35" t="n">
        <x:v>48</x:v>
      </x:c>
      <x:c r="H5" s="35" t="n">
        <x:v>35</x:v>
      </x:c>
      <x:c r="I5" s="35" t="n">
        <x:v>7</x:v>
      </x:c>
      <x:c r="J5" s="35" t="n">
        <x:v>6</x:v>
      </x:c>
      <x:c r="K5" s="36" t="n">
        <x:f>F5+G5+I5+J5</x:f>
        <x:v>105</x:v>
      </x:c>
      <x:c r="L5" s="35" t="n">
        <x:v>190</x:v>
      </x:c>
      <x:c r="M5" s="36" t="n">
        <x:f>L5+C5*K5</x:f>
        <x:v>715</x:v>
      </x:c>
      <x:c r="N5" s="35" t="n">
        <x:v>78</x:v>
      </x:c>
      <x:c r="O5" s="37" t="n">
        <x:f>K5/N5-1</x:f>
        <x:v>0.34615384615384626</x:v>
      </x:c>
      <x:c r="P5" s="16" t="str">
        <x:v>repeat molds, standardized scarf/edge closeouts, less rework</x:v>
      </x:c>
      <x:c r="Q5" s="16" t="str">
        <x:v>DERIVED-WORKING</x:v>
      </x:c>
    </x:row>
    <x:row r="6">
      <x:c r="A6" s="16" t="str">
        <x:v>材一号</x:v>
      </x:c>
      <x:c r="B6" s="16" t="str">
        <x:v>Small series</x:v>
      </x:c>
      <x:c r="C6" s="16" t="n">
        <x:v>25</x:v>
      </x:c>
      <x:c r="D6" s="16" t="n">
        <x:v>1</x:v>
      </x:c>
      <x:c r="E6" s="16" t="str">
        <x:v>single-type mass</x:v>
      </x:c>
      <x:c r="F6" s="35" t="n">
        <x:v>36</x:v>
      </x:c>
      <x:c r="G6" s="35" t="n">
        <x:v>35</x:v>
      </x:c>
      <x:c r="H6" s="35" t="n">
        <x:v>60</x:v>
      </x:c>
      <x:c r="I6" s="35" t="n">
        <x:v>2.4</x:v>
      </x:c>
      <x:c r="J6" s="35" t="n">
        <x:v>4</x:v>
      </x:c>
      <x:c r="K6" s="36" t="n">
        <x:f>F6+G6+I6+J6</x:f>
        <x:v>77.4</x:v>
      </x:c>
      <x:c r="L6" s="35" t="n">
        <x:v>190</x:v>
      </x:c>
      <x:c r="M6" s="36" t="n">
        <x:f>L6+C6*K6</x:f>
        <x:v>2125</x:v>
      </x:c>
      <x:c r="N6" s="35" t="n">
        <x:v>70</x:v>
      </x:c>
      <x:c r="O6" s="37" t="n">
        <x:f>K6/N6-1</x:f>
        <x:v>0.10571428571428587</x:v>
      </x:c>
      <x:c r="P6" s="16" t="str">
        <x:v>harder reusable molds, panel families, drilling/rivet elimination begins to pay</x:v>
      </x:c>
      <x:c r="Q6" s="16" t="str">
        <x:v>DERIVED-WORKING</x:v>
      </x:c>
    </x:row>
    <x:row r="7">
      <x:c r="A7" s="16" t="str">
        <x:v>材一号</x:v>
      </x:c>
      <x:c r="B7" s="16" t="str">
        <x:v>Mass series</x:v>
      </x:c>
      <x:c r="C7" s="16" t="n">
        <x:v>100</x:v>
      </x:c>
      <x:c r="D7" s="16" t="n">
        <x:v>1</x:v>
      </x:c>
      <x:c r="E7" s="16" t="str">
        <x:v>family-scale mass</x:v>
      </x:c>
      <x:c r="F7" s="35" t="n">
        <x:v>30</x:v>
      </x:c>
      <x:c r="G7" s="35" t="n">
        <x:v>29</x:v>
      </x:c>
      <x:c r="H7" s="35" t="n">
        <x:v>90</x:v>
      </x:c>
      <x:c r="I7" s="35" t="n">
        <x:v>0.9</x:v>
      </x:c>
      <x:c r="J7" s="35" t="n">
        <x:v>3</x:v>
      </x:c>
      <x:c r="K7" s="36" t="n">
        <x:f>F7+G7+I7+J7</x:f>
        <x:v>62.9</x:v>
      </x:c>
      <x:c r="L7" s="35" t="n">
        <x:v>190</x:v>
      </x:c>
      <x:c r="M7" s="36" t="n">
        <x:f>L7+C7*K7</x:f>
        <x:v>6480</x:v>
      </x:c>
      <x:c r="N7" s="35" t="n">
        <x:v>67</x:v>
      </x:c>
      <x:c r="O7" s="37" t="n">
        <x:f>K7/N7-1</x:f>
        <x:v>-0.06119402985074629</x:v>
      </x:c>
      <x:c r="P7" s="16" t="str">
        <x:v>dedicated cure fixtures and stable process; direct labor falls below riveted equivalent</x:v>
      </x:c>
      <x:c r="Q7" s="16" t="str">
        <x:v>DERIVED-WORKING</x:v>
      </x:c>
    </x:row>
    <x:row r="8">
      <x:c r="A8" s="16" t="str">
        <x:v>材一号</x:v>
      </x:c>
      <x:c r="B8" s="16" t="str">
        <x:v>Large series</x:v>
      </x:c>
      <x:c r="C8" s="16" t="n">
        <x:v>300</x:v>
      </x:c>
      <x:c r="D8" s="16" t="n">
        <x:v>1</x:v>
      </x:c>
      <x:c r="E8" s="16" t="str">
        <x:v>family-scale mass</x:v>
      </x:c>
      <x:c r="F8" s="35" t="n">
        <x:v>30</x:v>
      </x:c>
      <x:c r="G8" s="35" t="n">
        <x:v>27</x:v>
      </x:c>
      <x:c r="H8" s="35" t="n">
        <x:v>125</x:v>
      </x:c>
      <x:c r="I8" s="35" t="n">
        <x:v>0.42</x:v>
      </x:c>
      <x:c r="J8" s="35" t="n">
        <x:v>3</x:v>
      </x:c>
      <x:c r="K8" s="36" t="n">
        <x:f>F8+G8+I8+J8</x:f>
        <x:v>60.42</x:v>
      </x:c>
      <x:c r="L8" s="35" t="n">
        <x:v>190</x:v>
      </x:c>
      <x:c r="M8" s="36" t="n">
        <x:f>L8+C8*K8</x:f>
        <x:v>18316</x:v>
      </x:c>
      <x:c r="N8" s="35" t="n">
        <x:v>64</x:v>
      </x:c>
      <x:c r="O8" s="37" t="n">
        <x:f>K8/N8-1</x:f>
        <x:v>-0.05593749999999997</x:v>
      </x:c>
      <x:c r="P8" s="16" t="str">
        <x:v>tool amortization nearly disappears; materials/QC become floor</x:v>
      </x:c>
      <x:c r="Q8" s="16" t="str">
        <x:v>DERIVED-WORKING</x:v>
      </x:c>
    </x:row>
    <x:row r="9">
      <x:c r="A9" s="16" t="str">
        <x:v>材二号</x:v>
      </x:c>
      <x:c r="B9" s="16" t="str">
        <x:v>Prototype / flight article</x:v>
      </x:c>
      <x:c r="C9" s="16" t="n">
        <x:v>1</x:v>
      </x:c>
      <x:c r="D9" s="16" t="n">
        <x:v>2</x:v>
      </x:c>
      <x:c r="E9" s="16" t="str">
        <x:v>current low-rate</x:v>
      </x:c>
      <x:c r="F9" s="35" t="n">
        <x:v>102</x:v>
      </x:c>
      <x:c r="G9" s="35" t="n">
        <x:v>145</x:v>
      </x:c>
      <x:c r="H9" s="35" t="n">
        <x:v>45</x:v>
      </x:c>
      <x:c r="I9" s="35" t="n">
        <x:v>45</x:v>
      </x:c>
      <x:c r="J9" s="35" t="n">
        <x:v>18</x:v>
      </x:c>
      <x:c r="K9" s="36" t="n">
        <x:f>F9+G9+I9+J9</x:f>
        <x:v>310</x:v>
      </x:c>
      <x:c r="L9" s="35" t="n">
        <x:v>430</x:v>
      </x:c>
      <x:c r="M9" s="36" t="n">
        <x:f>L9+C9*K9</x:f>
        <x:v>740</x:v>
      </x:c>
      <x:c r="N9" s="35" t="n">
        <x:v>205</x:v>
      </x:c>
      <x:c r="O9" s="37" t="n">
        <x:f>K9/N9-1</x:f>
        <x:v>0.5121951219512195</x:v>
      </x:c>
      <x:c r="P9" s="16" t="str">
        <x:v>high-q bonded shell development, flutter instrumentation, unique molds</x:v>
      </x:c>
      <x:c r="Q9" s="16" t="str">
        <x:v>DERIVED-WORKING</x:v>
      </x:c>
    </x:row>
    <x:row r="10">
      <x:c r="A10" s="16" t="str">
        <x:v>材二号</x:v>
      </x:c>
      <x:c r="B10" s="16" t="str">
        <x:v>Evaluation batch</x:v>
      </x:c>
      <x:c r="C10" s="16" t="n">
        <x:v>5</x:v>
      </x:c>
      <x:c r="D10" s="16" t="n">
        <x:v>2</x:v>
      </x:c>
      <x:c r="E10" s="16" t="str">
        <x:v>current→single-type</x:v>
      </x:c>
      <x:c r="F10" s="35" t="n">
        <x:v>88</x:v>
      </x:c>
      <x:c r="G10" s="35" t="n">
        <x:v>112</x:v>
      </x:c>
      <x:c r="H10" s="35" t="n">
        <x:v>85</x:v>
      </x:c>
      <x:c r="I10" s="35" t="n">
        <x:v>17</x:v>
      </x:c>
      <x:c r="J10" s="35" t="n">
        <x:v>12</x:v>
      </x:c>
      <x:c r="K10" s="36" t="n">
        <x:f>F10+G10+I10+J10</x:f>
        <x:v>229</x:v>
      </x:c>
      <x:c r="L10" s="35" t="n">
        <x:v>430</x:v>
      </x:c>
      <x:c r="M10" s="36" t="n">
        <x:f>L10+C10*K10</x:f>
        <x:v>1575</x:v>
      </x:c>
      <x:c r="N10" s="35" t="n">
        <x:v>190</x:v>
      </x:c>
      <x:c r="O10" s="37" t="n">
        <x:f>K10/N10-1</x:f>
        <x:v>0.20526315789473681</x:v>
      </x:c>
      <x:c r="P10" s="16" t="str">
        <x:v>repeat nacelle/wing-root molds; common bonded panels; still heavy QC</x:v>
      </x:c>
      <x:c r="Q10" s="16" t="str">
        <x:v>DERIVED-WORKING</x:v>
      </x:c>
    </x:row>
    <x:row r="11">
      <x:c r="A11" s="16" t="str">
        <x:v>材二号</x:v>
      </x:c>
      <x:c r="B11" s="16" t="str">
        <x:v>Small series</x:v>
      </x:c>
      <x:c r="C11" s="16" t="n">
        <x:v>25</x:v>
      </x:c>
      <x:c r="D11" s="16" t="n">
        <x:v>2</x:v>
      </x:c>
      <x:c r="E11" s="16" t="str">
        <x:v>single-type mass</x:v>
      </x:c>
      <x:c r="F11" s="35" t="n">
        <x:v>72</x:v>
      </x:c>
      <x:c r="G11" s="35" t="n">
        <x:v>82</x:v>
      </x:c>
      <x:c r="H11" s="35" t="n">
        <x:v>150</x:v>
      </x:c>
      <x:c r="I11" s="35" t="n">
        <x:v>6</x:v>
      </x:c>
      <x:c r="J11" s="35" t="n">
        <x:v>8</x:v>
      </x:c>
      <x:c r="K11" s="36" t="n">
        <x:f>F11+G11+I11+J11</x:f>
        <x:v>168</x:v>
      </x:c>
      <x:c r="L11" s="35" t="n">
        <x:v>430</x:v>
      </x:c>
      <x:c r="M11" s="36" t="n">
        <x:f>L11+C11*K11</x:f>
        <x:v>4630</x:v>
      </x:c>
      <x:c r="N11" s="35" t="n">
        <x:v>170</x:v>
      </x:c>
      <x:c r="O11" s="37" t="n">
        <x:f>K11/N11-1</x:f>
        <x:v>-0.0117647058823529</x:v>
      </x:c>
      <x:c r="P11" s="16" t="str">
        <x:v>large smooth panels and reduced riveting give strong labor benefit</x:v>
      </x:c>
      <x:c r="Q11" s="16" t="str">
        <x:v>DERIVED-WORKING</x:v>
      </x:c>
    </x:row>
    <x:row r="12">
      <x:c r="A12" s="16" t="str">
        <x:v>材二号</x:v>
      </x:c>
      <x:c r="B12" s="16" t="str">
        <x:v>Mass series</x:v>
      </x:c>
      <x:c r="C12" s="16" t="n">
        <x:v>100</x:v>
      </x:c>
      <x:c r="D12" s="16" t="n">
        <x:v>2</x:v>
      </x:c>
      <x:c r="E12" s="16" t="str">
        <x:v>family-scale mass</x:v>
      </x:c>
      <x:c r="F12" s="35" t="n">
        <x:v>60</x:v>
      </x:c>
      <x:c r="G12" s="35" t="n">
        <x:v>69</x:v>
      </x:c>
      <x:c r="H12" s="35" t="n">
        <x:v>220</x:v>
      </x:c>
      <x:c r="I12" s="35" t="n">
        <x:v>2.2</x:v>
      </x:c>
      <x:c r="J12" s="35" t="n">
        <x:v>7</x:v>
      </x:c>
      <x:c r="K12" s="36" t="n">
        <x:f>F12+G12+I12+J12</x:f>
        <x:v>138.2</x:v>
      </x:c>
      <x:c r="L12" s="35" t="n">
        <x:v>430</x:v>
      </x:c>
      <x:c r="M12" s="36" t="n">
        <x:f>L12+C12*K12</x:f>
        <x:v>14249.999999999998</x:v>
      </x:c>
      <x:c r="N12" s="35" t="n">
        <x:v>158</x:v>
      </x:c>
      <x:c r="O12" s="37" t="n">
        <x:f>K12/N12-1</x:f>
        <x:v>-0.12531645569620264</x:v>
      </x:c>
      <x:c r="P12" s="16" t="str">
        <x:v>production molds/fixtures stabilize shape and surface finish; fewer skilled sheet-metal hours</x:v>
      </x:c>
      <x:c r="Q12" s="16" t="str">
        <x:v>DERIVED-WORKING</x:v>
      </x:c>
    </x:row>
    <x:row r="13">
      <x:c r="A13" s="16" t="str">
        <x:v>材二号</x:v>
      </x:c>
      <x:c r="B13" s="16" t="str">
        <x:v>Large series</x:v>
      </x:c>
      <x:c r="C13" s="16" t="n">
        <x:v>300</x:v>
      </x:c>
      <x:c r="D13" s="16" t="n">
        <x:v>2</x:v>
      </x:c>
      <x:c r="E13" s="16" t="str">
        <x:v>family-scale mass</x:v>
      </x:c>
      <x:c r="F13" s="35" t="n">
        <x:v>60</x:v>
      </x:c>
      <x:c r="G13" s="35" t="n">
        <x:v>64</x:v>
      </x:c>
      <x:c r="H13" s="35" t="n">
        <x:v>300</x:v>
      </x:c>
      <x:c r="I13" s="35" t="n">
        <x:v>1</x:v>
      </x:c>
      <x:c r="J13" s="35" t="n">
        <x:v>7</x:v>
      </x:c>
      <x:c r="K13" s="36" t="n">
        <x:f>F13+G13+I13+J13</x:f>
        <x:v>132</x:v>
      </x:c>
      <x:c r="L13" s="35" t="n">
        <x:v>430</x:v>
      </x:c>
      <x:c r="M13" s="36" t="n">
        <x:f>L13+C13*K13</x:f>
        <x:v>40030</x:v>
      </x:c>
      <x:c r="N13" s="35" t="n">
        <x:v>150</x:v>
      </x:c>
      <x:c r="O13" s="37" t="n">
        <x:f>K13/N13-1</x:f>
        <x:v>-0.12</x:v>
      </x:c>
      <x:c r="P13" s="16" t="str">
        <x:v>recurring cost approaches material/QC floor; structure method clearly beats riveted equivalent</x:v>
      </x:c>
      <x:c r="Q13" s="16" t="str">
        <x:v>DERIVED-WORKING</x:v>
      </x:c>
    </x:row>
    <x:row r="14">
      <x:c r="A14" s="16" t="str">
        <x:v>材三号</x:v>
      </x:c>
      <x:c r="B14" s="16" t="str">
        <x:v>Prototype / flight article</x:v>
      </x:c>
      <x:c r="C14" s="16" t="n">
        <x:v>1</x:v>
      </x:c>
      <x:c r="D14" s="16" t="n">
        <x:v>4</x:v>
      </x:c>
      <x:c r="E14" s="16" t="str">
        <x:v>current low-rate</x:v>
      </x:c>
      <x:c r="F14" s="35" t="n">
        <x:v>204</x:v>
      </x:c>
      <x:c r="G14" s="35" t="n">
        <x:v>360</x:v>
      </x:c>
      <x:c r="H14" s="35" t="n">
        <x:v>120</x:v>
      </x:c>
      <x:c r="I14" s="35" t="n">
        <x:v>120</x:v>
      </x:c>
      <x:c r="J14" s="35" t="n">
        <x:v>35</x:v>
      </x:c>
      <x:c r="K14" s="36" t="n">
        <x:f>F14+G14+I14+J14</x:f>
        <x:v>719</x:v>
      </x:c>
      <x:c r="L14" s="35" t="n">
        <x:v>980</x:v>
      </x:c>
      <x:c r="M14" s="36" t="n">
        <x:f>L14+C14*K14</x:f>
        <x:v>1699</x:v>
      </x:c>
      <x:c r="N14" s="35" t="n">
        <x:v>510</x:v>
      </x:c>
      <x:c r="O14" s="37" t="n">
        <x:f>K14/N14-1</x:f>
        <x:v>0.40980392156862755</x:v>
      </x:c>
      <x:c r="P14" s="16" t="str">
        <x:v>large barrels/panels, gear/wing-box rigs, factory-scale process development</x:v>
      </x:c>
      <x:c r="Q14" s="16" t="str">
        <x:v>DERIVED-WORKING</x:v>
      </x:c>
    </x:row>
    <x:row r="15">
      <x:c r="A15" s="16" t="str">
        <x:v>材三号</x:v>
      </x:c>
      <x:c r="B15" s="16" t="str">
        <x:v>Evaluation batch</x:v>
      </x:c>
      <x:c r="C15" s="16" t="n">
        <x:v>5</x:v>
      </x:c>
      <x:c r="D15" s="16" t="n">
        <x:v>4</x:v>
      </x:c>
      <x:c r="E15" s="16" t="str">
        <x:v>current→single-type</x:v>
      </x:c>
      <x:c r="F15" s="35" t="n">
        <x:v>176</x:v>
      </x:c>
      <x:c r="G15" s="35" t="n">
        <x:v>275</x:v>
      </x:c>
      <x:c r="H15" s="35" t="n">
        <x:v>230</x:v>
      </x:c>
      <x:c r="I15" s="35" t="n">
        <x:v>46</x:v>
      </x:c>
      <x:c r="J15" s="35" t="n">
        <x:v>26</x:v>
      </x:c>
      <x:c r="K15" s="36" t="n">
        <x:f>F15+G15+I15+J15</x:f>
        <x:v>523</x:v>
      </x:c>
      <x:c r="L15" s="35" t="n">
        <x:v>980</x:v>
      </x:c>
      <x:c r="M15" s="36" t="n">
        <x:f>L15+C15*K15</x:f>
        <x:v>3595</x:v>
      </x:c>
      <x:c r="N15" s="35" t="n">
        <x:v>455</x:v>
      </x:c>
      <x:c r="O15" s="37" t="n">
        <x:f>K15/N15-1</x:f>
        <x:v>0.14945054945054936</x:v>
      </x:c>
      <x:c r="P15" s="16" t="str">
        <x:v>reusable large molds, standardized cargo-floor/shell panels, major fit-learning</x:v>
      </x:c>
      <x:c r="Q15" s="16" t="str">
        <x:v>DERIVED-WORKING</x:v>
      </x:c>
    </x:row>
    <x:row r="16">
      <x:c r="A16" s="16" t="str">
        <x:v>材三号</x:v>
      </x:c>
      <x:c r="B16" s="16" t="str">
        <x:v>Small series</x:v>
      </x:c>
      <x:c r="C16" s="16" t="n">
        <x:v>25</x:v>
      </x:c>
      <x:c r="D16" s="16" t="n">
        <x:v>4</x:v>
      </x:c>
      <x:c r="E16" s="16" t="str">
        <x:v>single-type mass</x:v>
      </x:c>
      <x:c r="F16" s="35" t="n">
        <x:v>144</x:v>
      </x:c>
      <x:c r="G16" s="35" t="n">
        <x:v>190</x:v>
      </x:c>
      <x:c r="H16" s="35" t="n">
        <x:v>360</x:v>
      </x:c>
      <x:c r="I16" s="35" t="n">
        <x:v>14.4</x:v>
      </x:c>
      <x:c r="J16" s="35" t="n">
        <x:v>18</x:v>
      </x:c>
      <x:c r="K16" s="36" t="n">
        <x:f>F16+G16+I16+J16</x:f>
        <x:v>366.4</x:v>
      </x:c>
      <x:c r="L16" s="35" t="n">
        <x:v>980</x:v>
      </x:c>
      <x:c r="M16" s="36" t="n">
        <x:f>L16+C16*K16</x:f>
        <x:v>10140</x:v>
      </x:c>
      <x:c r="N16" s="35" t="n">
        <x:v>395</x:v>
      </x:c>
      <x:c r="O16" s="37" t="n">
        <x:f>K16/N16-1</x:f>
        <x:v>-0.07240506329113927</x:v>
      </x:c>
      <x:c r="P16" s="16" t="str">
        <x:v>large-area molding and bonded subassemblies now repay tooling; fewer rivet-hours</x:v>
      </x:c>
      <x:c r="Q16" s="16" t="str">
        <x:v>DERIVED-WORKING</x:v>
      </x:c>
    </x:row>
    <x:row r="17">
      <x:c r="A17" s="16" t="str">
        <x:v>材三号</x:v>
      </x:c>
      <x:c r="B17" s="16" t="str">
        <x:v>Mass series</x:v>
      </x:c>
      <x:c r="C17" s="16" t="n">
        <x:v>100</x:v>
      </x:c>
      <x:c r="D17" s="16" t="n">
        <x:v>4</x:v>
      </x:c>
      <x:c r="E17" s="16" t="str">
        <x:v>family-scale mass</x:v>
      </x:c>
      <x:c r="F17" s="35" t="n">
        <x:v>120</x:v>
      </x:c>
      <x:c r="G17" s="35" t="n">
        <x:v>150</x:v>
      </x:c>
      <x:c r="H17" s="35" t="n">
        <x:v>520</x:v>
      </x:c>
      <x:c r="I17" s="35" t="n">
        <x:v>5.2</x:v>
      </x:c>
      <x:c r="J17" s="35" t="n">
        <x:v>15</x:v>
      </x:c>
      <x:c r="K17" s="36" t="n">
        <x:f>F17+G17+I17+J17</x:f>
        <x:v>290.2</x:v>
      </x:c>
      <x:c r="L17" s="35" t="n">
        <x:v>980</x:v>
      </x:c>
      <x:c r="M17" s="36" t="n">
        <x:f>L17+C17*K17</x:f>
        <x:v>30000</x:v>
      </x:c>
      <x:c r="N17" s="35" t="n">
        <x:v>360</x:v>
      </x:c>
      <x:c r="O17" s="37" t="n">
        <x:f>K17/N17-1</x:f>
        <x:v>-0.1938888888888889</x:v>
      </x:c>
      <x:c r="P17" s="16" t="str">
        <x:v>dedicated production fixtures, parallel panel shops, common E5 core supply</x:v>
      </x:c>
      <x:c r="Q17" s="16" t="str">
        <x:v>DERIVED-WORKING</x:v>
      </x:c>
    </x:row>
    <x:row r="18">
      <x:c r="A18" s="16" t="str">
        <x:v>材三号</x:v>
      </x:c>
      <x:c r="B18" s="16" t="str">
        <x:v>Large series</x:v>
      </x:c>
      <x:c r="C18" s="16" t="n">
        <x:v>300</x:v>
      </x:c>
      <x:c r="D18" s="16" t="n">
        <x:v>4</x:v>
      </x:c>
      <x:c r="E18" s="16" t="str">
        <x:v>family-scale mass</x:v>
      </x:c>
      <x:c r="F18" s="35" t="n">
        <x:v>120</x:v>
      </x:c>
      <x:c r="G18" s="35" t="n">
        <x:v>140</x:v>
      </x:c>
      <x:c r="H18" s="35" t="n">
        <x:v>720</x:v>
      </x:c>
      <x:c r="I18" s="35" t="n">
        <x:v>2.4</x:v>
      </x:c>
      <x:c r="J18" s="35" t="n">
        <x:v>14</x:v>
      </x:c>
      <x:c r="K18" s="36" t="n">
        <x:f>F18+G18+I18+J18</x:f>
        <x:v>276.4</x:v>
      </x:c>
      <x:c r="L18" s="35" t="n">
        <x:v>980</x:v>
      </x:c>
      <x:c r="M18" s="36" t="n">
        <x:f>L18+C18*K18</x:f>
        <x:v>83900</x:v>
      </x:c>
      <x:c r="N18" s="35" t="n">
        <x:v>345</x:v>
      </x:c>
      <x:c r="O18" s="37" t="n">
        <x:f>K18/N18-1</x:f>
        <x:v>-0.19884057971014502</x:v>
      </x:c>
      <x:c r="P18" s="16" t="str">
        <x:v>tooling diluted; remaining floor is engines + material + QC + conventional concentrated-load structure</x:v>
      </x:c>
      <x:c r="Q18" s="16" t="str">
        <x:v>DERIVED-WORKING</x:v>
      </x:c>
    </x:row>
    <x:row r="21">
      <x:c r="A21" s="39" t="str">
        <x:v>Historical calibration anchors — not direct Japanese contract quotes</x:v>
      </x:c>
      <x:c r="B21" s="39"/>
      <x:c r="C21" s="39"/>
      <x:c r="D21" s="39"/>
      <x:c r="E21" s="39"/>
      <x:c r="F21" s="39"/>
      <x:c r="G21" s="39"/>
      <x:c r="H21" s="39"/>
      <x:c r="I21" s="39"/>
      <x:c r="J21" s="39"/>
      <x:c r="K21" s="39"/>
      <x:c r="L21" s="39"/>
      <x:c r="M21" s="39"/>
      <x:c r="N21" s="39"/>
      <x:c r="O21" s="39"/>
      <x:c r="P21" s="39"/>
      <x:c r="Q21" s="39"/>
    </x:row>
    <x:row r="22">
      <x:c r="A22" s="31" t="str">
        <x:v>Anchor</x:v>
      </x:c>
      <x:c r="B22" s="31" t="str">
        <x:v>Year</x:v>
      </x:c>
      <x:c r="C22" s="31" t="str">
        <x:v>Native price</x:v>
      </x:c>
      <x:c r="D22" s="31" t="str">
        <x:v>Approx ¥ at ¥3.33/$</x:v>
      </x:c>
      <x:c r="E22" s="31" t="str">
        <x:v>Why useful</x:v>
      </x:c>
      <x:c r="F22" s="31" t="str">
        <x:v>Source</x:v>
      </x:c>
    </x:row>
    <x:row r="23">
      <x:c r="A23" s="16" t="str">
        <x:v>Lockheed 12A</x:v>
      </x:c>
      <x:c r="B23" s="16" t="str">
        <x:v>1937</x:v>
      </x:c>
      <x:c r="C23" s="16" t="str">
        <x:v>$39,500</x:v>
      </x:c>
      <x:c r="D23" s="36" t="n">
        <x:v>131.5</x:v>
      </x:c>
      <x:c r="E23" s="16" t="str">
        <x:v>4.2 t-class, twin 450 hp executive/transport aircraft production price</x:v>
      </x:c>
      <x:c r="F23" s="16" t="str">
        <x:v>https://www.aopa.org/news-and-media/all-news/2006/november/pilot/lockheed-12-a-electra-junior</x:v>
      </x:c>
    </x:row>
    <x:row r="24">
      <x:c r="A24" s="16" t="str">
        <x:v>Boeing Model 299 expected production</x:v>
      </x:c>
      <x:c r="B24" s="16" t="str">
        <x:v>1935</x:v>
      </x:c>
      <x:c r="C24" s="16" t="str">
        <x:v>$99,260</x:v>
      </x:c>
      <x:c r="D24" s="36" t="n">
        <x:v>330.5</x:v>
      </x:c>
      <x:c r="E24" s="16" t="str">
        <x:v>large four-engine high-performance aircraft expected production order price</x:v>
      </x:c>
      <x:c r="F24" s="16" t="str">
        <x:v>https://www.aerovintage.com/2025/07/26/90-years-ago-the-boeing-model-299/</x:v>
      </x:c>
    </x:row>
    <x:row r="25">
      <x:c r="A25" s="16" t="str">
        <x:v>Douglas B-18 expected production</x:v>
      </x:c>
      <x:c r="B25" s="16" t="str">
        <x:v>1935</x:v>
      </x:c>
      <x:c r="C25" s="16" t="str">
        <x:v>$58,500</x:v>
      </x:c>
      <x:c r="D25" s="36" t="n">
        <x:v>194.8</x:v>
      </x:c>
      <x:c r="E25" s="16" t="str">
        <x:v>lower-cost twin-engine bomber comparator in same competition</x:v>
      </x:c>
      <x:c r="F25" s="16" t="str">
        <x:v>https://www.aerovintage.com/2025/07/26/90-years-ago-the-boeing-model-299/</x:v>
      </x:c>
    </x:row>
    <x:row r="26">
      <x:c r="A26" s="16" t="str">
        <x:v>Model 299 development program</x:v>
      </x:c>
      <x:c r="B26" s="16" t="str">
        <x:v>1934–35</x:v>
      </x:c>
      <x:c r="C26" s="16" t="str">
        <x:v>$432,000–660,000+</x:v>
      </x:c>
      <x:c r="D26" s="36" t="n">
        <x:v>1438.6</x:v>
      </x:c>
      <x:c r="E26" s="16" t="str">
        <x:v>shows prototype program cost can be several times eventual flyaway price</x:v>
      </x:c>
      <x:c r="F26" s="16" t="str">
        <x:v>https://www.yumpu.com/en/document/view/5131270/warbird-306th-bomb-group</x:v>
      </x:c>
    </x:row>
  </x:sheetData>
  <x:mergeCells>
    <x:mergeCell ref="A1:Q1"/>
    <x:mergeCell ref="A21:Q21"/>
  </x:mergeCells>
  <x:conditionalFormatting sqref="O4:O18">
    <x:cfRule type="colorScale" priority="1">
      <x:colorScale>
        <x:cfvo type="min"/>
        <x:cfvo type="percentile" val="50"/>
        <x:cfvo type="max"/>
        <x:color rgb="FFC6EFCE"/>
        <x:color rgb="FFFFEB9C"/>
        <x:color rgb="FFFFC7CE"/>
      </x:colorScale>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20" hidden="0" customWidth="1"/>
    <x:col min="3" max="3" width="18" hidden="0" customWidth="1"/>
    <x:col min="4" max="4" width="18" hidden="0" customWidth="1"/>
    <x:col min="5" max="5" width="18" hidden="0" customWidth="1"/>
    <x:col min="6" max="6" width="18" hidden="0" customWidth="1"/>
    <x:col min="7" max="7" width="23" hidden="0" customWidth="1"/>
    <x:col min="8" max="8" width="18" hidden="0" customWidth="1"/>
    <x:col min="9" max="9" width="16" hidden="0" customWidth="1"/>
    <x:col min="10" max="10" width="16" hidden="0" customWidth="1"/>
    <x:col min="11" max="11" width="48" hidden="0" customWidth="1"/>
    <x:col min="12" max="12" width="40" hidden="0" customWidth="1"/>
    <x:col min="13" max="13" width="44" hidden="0" customWidth="1"/>
    <x:col min="14" max="14" width="36" hidden="0" customWidth="1"/>
  </x:cols>
  <x:sheetData>
    <x:row r="1" ht="26" customHeight="1">
      <x:c r="A1" s="27" t="str">
        <x:v>材系列 — 軍・浅井向け価格要約</x:v>
      </x:c>
      <x:c r="B1" s="27"/>
      <x:c r="C1" s="27"/>
      <x:c r="D1" s="27"/>
      <x:c r="E1" s="27"/>
      <x:c r="F1" s="27"/>
      <x:c r="G1" s="27"/>
      <x:c r="H1" s="27"/>
      <x:c r="I1" s="27"/>
      <x:c r="J1" s="27"/>
      <x:c r="K1" s="27"/>
      <x:c r="L1" s="27"/>
      <x:c r="M1" s="27"/>
      <x:c r="N1" s="27"/>
    </x:row>
    <x:row r="3">
      <x:c r="A3" s="31" t="str">
        <x:v>Aircraft</x:v>
      </x:c>
      <x:c r="B3" s="31" t="str">
        <x:v>Prototype flyaway ¥k</x:v>
      </x:c>
      <x:c r="C3" s="31" t="str">
        <x:v>5-aircraft ¥k</x:v>
      </x:c>
      <x:c r="D3" s="31" t="str">
        <x:v>25-aircraft ¥k</x:v>
      </x:c>
      <x:c r="E3" s="31" t="str">
        <x:v>100-aircraft ¥k</x:v>
      </x:c>
      <x:c r="F3" s="31" t="str">
        <x:v>300-aircraft ¥k</x:v>
      </x:c>
      <x:c r="G3" s="31" t="str">
        <x:v>100-unit conventional ¥k</x:v>
      </x:c>
      <x:c r="H3" s="31" t="str">
        <x:v>100-unit saving</x:v>
      </x:c>
      <x:c r="I3" s="31" t="str">
        <x:v>Program NRE ¥k</x:v>
      </x:c>
      <x:c r="J3" s="31" t="str">
        <x:v>Engine share @100</x:v>
      </x:c>
      <x:c r="K3" s="31" t="str">
        <x:v>Production economics</x:v>
      </x:c>
      <x:c r="L3" s="31" t="str">
        <x:v>Likely first buyer question</x:v>
      </x:c>
      <x:c r="M3" s="31" t="str">
        <x:v>Answer</x:v>
      </x:c>
      <x:c r="N3" s="31" t="str">
        <x:v>Price verdict</x:v>
      </x:c>
    </x:row>
    <x:row r="4">
      <x:c r="A4" s="16" t="str">
        <x:v>材一号</x:v>
      </x:c>
      <x:c r="B4" s="36" t="n">
        <x:f>'10_COST_MODEL'!K4</x:f>
        <x:v>141</x:v>
      </x:c>
      <x:c r="C4" s="36" t="n">
        <x:f>'10_COST_MODEL'!K5</x:f>
        <x:v>105</x:v>
      </x:c>
      <x:c r="D4" s="36" t="n">
        <x:f>'10_COST_MODEL'!K6</x:f>
        <x:v>77.4</x:v>
      </x:c>
      <x:c r="E4" s="36" t="n">
        <x:f>'10_COST_MODEL'!K7</x:f>
        <x:v>62.9</x:v>
      </x:c>
      <x:c r="F4" s="36" t="n">
        <x:f>'10_COST_MODEL'!K8</x:f>
        <x:v>60.42</x:v>
      </x:c>
      <x:c r="G4" s="36" t="n">
        <x:v>67</x:v>
      </x:c>
      <x:c r="H4" s="36" t="n">
        <x:f>G4-E4</x:f>
        <x:v>4.100000000000001</x:v>
      </x:c>
      <x:c r="I4" s="36" t="n">
        <x:f>'10_COST_MODEL'!L4</x:f>
        <x:v>190</x:v>
      </x:c>
      <x:c r="J4" s="37" t="n">
        <x:f>'10_COST_MODEL'!F7/'10_COST_MODEL'!K7</x:f>
        <x:v>0.4769475357710652</x:v>
      </x:c>
      <x:c r="K4" s="16" t="str">
        <x:v>5機までは新工法負担が重い。25機でほぼ競争、100機で鋲構造より安くなる。</x:v>
      </x:c>
      <x:c r="L4" s="16" t="str">
        <x:v>『このまま連絡・軽輸送で何円か』</x:v>
      </x:c>
      <x:c r="M4" s="16" t="str">
        <x:v>100機級なら約6.3万円/機。E5-T込み。</x:v>
      </x:c>
      <x:c r="N4" s="16" t="str">
        <x:v>最も早く商品価格が成立</x:v>
      </x:c>
    </x:row>
    <x:row r="5">
      <x:c r="A5" s="16" t="str">
        <x:v>材二号</x:v>
      </x:c>
      <x:c r="B5" s="36" t="n">
        <x:f>'10_COST_MODEL'!K9</x:f>
        <x:v>310</x:v>
      </x:c>
      <x:c r="C5" s="36" t="n">
        <x:f>'10_COST_MODEL'!K10</x:f>
        <x:v>229</x:v>
      </x:c>
      <x:c r="D5" s="36" t="n">
        <x:f>'10_COST_MODEL'!K11</x:f>
        <x:v>168</x:v>
      </x:c>
      <x:c r="E5" s="36" t="n">
        <x:f>'10_COST_MODEL'!K12</x:f>
        <x:v>138.2</x:v>
      </x:c>
      <x:c r="F5" s="36" t="n">
        <x:f>'10_COST_MODEL'!K13</x:f>
        <x:v>132</x:v>
      </x:c>
      <x:c r="G5" s="36" t="n">
        <x:v>158</x:v>
      </x:c>
      <x:c r="H5" s="36" t="n">
        <x:f>G5-E5</x:f>
        <x:v>19.80000000000001</x:v>
      </x:c>
      <x:c r="I5" s="36" t="n">
        <x:f>'10_COST_MODEL'!L9</x:f>
        <x:v>430</x:v>
      </x:c>
      <x:c r="J5" s="37" t="n">
        <x:f>'10_COST_MODEL'!F12/'10_COST_MODEL'!K12</x:f>
        <x:v>0.43415340086830684</x:v>
      </x:c>
      <x:c r="K5" s="16" t="str">
        <x:v>型・面精度・接着panelの反復価値が大きく、量産ほどMosquito型の『性能＋安価』が出る。</x:v>
      </x:c>
      <x:c r="L5" s="16" t="str">
        <x:v>『偵察/軽爆型にしても価格は同じか』</x:v>
      </x:c>
      <x:c r="M5" s="16" t="str">
        <x:v>機材差を除けば母機価格は100機級約13.8万円/機。</x:v>
      </x:c>
      <x:c r="N5" s="16" t="str">
        <x:v>性能機なのに高級全金属機より安くなり得る</x:v>
      </x:c>
    </x:row>
    <x:row r="6">
      <x:c r="A6" s="16" t="str">
        <x:v>材三号</x:v>
      </x:c>
      <x:c r="B6" s="36" t="n">
        <x:f>'10_COST_MODEL'!K14</x:f>
        <x:v>719</x:v>
      </x:c>
      <x:c r="C6" s="36" t="n">
        <x:f>'10_COST_MODEL'!K15</x:f>
        <x:v>523</x:v>
      </x:c>
      <x:c r="D6" s="36" t="n">
        <x:f>'10_COST_MODEL'!K16</x:f>
        <x:v>366.4</x:v>
      </x:c>
      <x:c r="E6" s="36" t="n">
        <x:f>'10_COST_MODEL'!K17</x:f>
        <x:v>290.2</x:v>
      </x:c>
      <x:c r="F6" s="36" t="n">
        <x:f>'10_COST_MODEL'!K18</x:f>
        <x:v>276.4</x:v>
      </x:c>
      <x:c r="G6" s="36" t="n">
        <x:v>360</x:v>
      </x:c>
      <x:c r="H6" s="36" t="n">
        <x:f>G6-E6</x:f>
        <x:v>69.80000000000001</x:v>
      </x:c>
      <x:c r="I6" s="36" t="n">
        <x:f>'10_COST_MODEL'!L14</x:f>
        <x:v>980</x:v>
      </x:c>
      <x:c r="J6" s="37" t="n">
        <x:f>'10_COST_MODEL'!F17/'10_COST_MODEL'!K17</x:f>
        <x:v>0.4135079255685734</x:v>
      </x:c>
      <x:c r="K6" s="16" t="str">
        <x:v>初号機は高いが、大型panelの部品点数/鋲工数削減が最も効く。100機級で約2割安。</x:v>
      </x:c>
      <x:c r="L6" s="16" t="str">
        <x:v>『試験装備を降ろした輸送型はいくらか』</x:v>
      </x:c>
      <x:c r="M6" s="16" t="str">
        <x:v>100機級なら約29万円/機。4×E5-T込み。</x:v>
      </x:c>
      <x:c r="N6" s="16" t="str">
        <x:v>大型機で製造法の価値が最大化</x:v>
      </x:c>
    </x:row>
    <x:row r="9">
      <x:c r="A9" s="42" t="str">
        <x:v>型の効果：少量では soft tooling / 手仕上げが安い。20–30機級から耐久型・硬化治具・panel familyへ投資し、100機級では型費よりも材料・QC・エンジンが価格床になる。接着構造は『型がタダになる』のではなく、反復形状と鋲/穴あけ/板金工数を型・工程管理へ置換する。</x:v>
      </x:c>
      <x:c r="B9" s="42"/>
      <x:c r="C9" s="42"/>
      <x:c r="D9" s="42"/>
      <x:c r="E9" s="42"/>
      <x:c r="F9" s="42"/>
      <x:c r="G9" s="42"/>
      <x:c r="H9" s="42"/>
      <x:c r="I9" s="42"/>
      <x:c r="J9" s="42"/>
      <x:c r="K9" s="42"/>
      <x:c r="L9" s="42"/>
      <x:c r="M9" s="42"/>
      <x:c r="N9" s="42"/>
    </x:row>
  </x:sheetData>
  <x:mergeCells>
    <x:mergeCell ref="A1:N1"/>
    <x:mergeCell ref="A9:N9"/>
  </x:mergeCells>
  <x:pageMargins left="0.7" right="0.7" top="0.75" bottom="0.75" header="0.3" footer="0.3"/>
</x:worksheet>
</file>