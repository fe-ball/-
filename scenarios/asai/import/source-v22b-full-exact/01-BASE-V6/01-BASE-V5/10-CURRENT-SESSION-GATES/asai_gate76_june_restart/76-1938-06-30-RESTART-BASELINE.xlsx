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c224094c1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art" sheetId="1" r:id="Re3099b1835074d6b"/>
    <x:sheet xmlns:r="http://schemas.openxmlformats.org/officeDocument/2006/relationships" name="Company_H1" sheetId="2" r:id="R9f529fc09f104c1f"/>
    <x:sheet xmlns:r="http://schemas.openxmlformats.org/officeDocument/2006/relationships" name="Turbine_Works" sheetId="3" r:id="Rd6c267fd513f4f1d"/>
    <x:sheet xmlns:r="http://schemas.openxmlformats.org/officeDocument/2006/relationships" name="Weapons" sheetId="4" r:id="Ra22d608d4695407f"/>
    <x:sheet xmlns:r="http://schemas.openxmlformats.org/officeDocument/2006/relationships" name="Aviation" sheetId="5" r:id="R26c1f56ce8184fc6"/>
    <x:sheet xmlns:r="http://schemas.openxmlformats.org/officeDocument/2006/relationships" name="Manchuria" sheetId="6" r:id="Ra070d699c6b94b3f"/>
    <x:sheet xmlns:r="http://schemas.openxmlformats.org/officeDocument/2006/relationships" name="Flood_Support" sheetId="7" r:id="R2eccbb1e7d164d92"/>
    <x:sheet xmlns:r="http://schemas.openxmlformats.org/officeDocument/2006/relationships" name="Nonblocking" sheetId="8" r:id="R84b9ddc571c44c5c"/>
    <x:sheet xmlns:r="http://schemas.openxmlformats.org/officeDocument/2006/relationships" name="Revenue_Mix" sheetId="9" r:id="R9f612f19cfe94cae"/>
    <x:sheet xmlns:r="http://schemas.openxmlformats.org/officeDocument/2006/relationships" name="Sources" sheetId="10" r:id="Rea6efd3e9e65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58c22e9044f15" /><Relationship Type="http://schemas.openxmlformats.org/officeDocument/2006/relationships/theme" Target="/xl/theme/theme1.xml" Id="R7142a6eae4274b3c" /><Relationship Type="http://schemas.openxmlformats.org/officeDocument/2006/relationships/sharedStrings" Target="/xl/sharedStrings.xml" Id="Ra4f9d315c78b4e03" /><Relationship Type="http://schemas.openxmlformats.org/officeDocument/2006/relationships/worksheet" Target="/xl/worksheets/sheet1.xml" Id="Re3099b1835074d6b" /><Relationship Type="http://schemas.openxmlformats.org/officeDocument/2006/relationships/worksheet" Target="/xl/worksheets/sheet2.xml" Id="R9f529fc09f104c1f" /><Relationship Type="http://schemas.openxmlformats.org/officeDocument/2006/relationships/worksheet" Target="/xl/worksheets/sheet3.xml" Id="Rd6c267fd513f4f1d" /><Relationship Type="http://schemas.openxmlformats.org/officeDocument/2006/relationships/worksheet" Target="/xl/worksheets/sheet4.xml" Id="Ra22d608d4695407f" /><Relationship Type="http://schemas.openxmlformats.org/officeDocument/2006/relationships/worksheet" Target="/xl/worksheets/sheet5.xml" Id="R26c1f56ce8184fc6" /><Relationship Type="http://schemas.openxmlformats.org/officeDocument/2006/relationships/worksheet" Target="/xl/worksheets/sheet6.xml" Id="Ra070d699c6b94b3f" /><Relationship Type="http://schemas.openxmlformats.org/officeDocument/2006/relationships/worksheet" Target="/xl/worksheets/sheet7.xml" Id="R2eccbb1e7d164d92" /><Relationship Type="http://schemas.openxmlformats.org/officeDocument/2006/relationships/worksheet" Target="/xl/worksheets/sheet8.xml" Id="R84b9ddc571c44c5c" /><Relationship Type="http://schemas.openxmlformats.org/officeDocument/2006/relationships/worksheet" Target="/xl/worksheets/sheet9.xml" Id="R9f612f19cfe94cae" /><Relationship Type="http://schemas.openxmlformats.org/officeDocument/2006/relationships/worksheet" Target="/xl/worksheets/sheet10.xml" Id="Rea6efd3e9e6546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bcca4744ee41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Asai 1938 H1 Revenue Mix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1938 H1 sales (million yen)</c:v>
          </c:tx>
          <c:cat>
            <c:strRef>
              <c:f>'Revenue_Mix'!$A$2:$A$8</c:f>
              <c:strCache>
                <c:ptCount val="0"/>
              </c:strCache>
            </c:strRef>
          </c:cat>
          <c:val>
            <c:numRef>
              <c:f>'Revenue_Mix'!$B$2:$B$8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bcca4744ee41e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f0f9ead3ed3841b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24" hidden="0" customWidth="1"/>
    <x:col min="4" max="4" width="20" hidden="0" customWidth="1"/>
    <x:col min="5" max="5" width="44" hidden="0" customWidth="1"/>
  </x:cols>
  <x:sheetData>
    <x:row r="1" ht="39.599998474121094" hidden="0" customHeight="1">
      <x:c r="A1" s="14" t="str">
        <x:v>Category</x:v>
      </x:c>
      <x:c r="B1" s="14" t="str">
        <x:v>1938-06-30 CLOSED baseline</x:v>
      </x:c>
      <x:c r="C1" s="14" t="str">
        <x:v>Band / sensitivity</x:v>
      </x:c>
      <x:c r="D1" s="14" t="str">
        <x:v>Status</x:v>
      </x:c>
      <x:c r="E1" s="14" t="str">
        <x:v>Use from July 1938 onward</x:v>
      </x:c>
    </x:row>
    <x:row r="2" ht="52.79999923706055" hidden="0" customHeight="1">
      <x:c r="A2" s="15" t="str">
        <x:v>Clock</x:v>
      </x:c>
      <x:c r="B2" s="15" t="str">
        <x:v>1938-06-30 24:00</x:v>
      </x:c>
      <x:c r="C2" s="15" t="str">
        <x:v>—</x:v>
      </x:c>
      <x:c r="D2" s="15" t="str">
        <x:v>CLOSED</x:v>
      </x:c>
      <x:c r="E2" s="15" t="str">
        <x:v>Resume Wuhan buildup from here</x:v>
      </x:c>
    </x:row>
    <x:row r="3" ht="92.4000015258789" hidden="0" customHeight="1">
      <x:c r="A3" s="15" t="str">
        <x:v>Japanese cumulative battle casualties avoided</x:v>
      </x:c>
      <x:c r="B3" s="15" t="str">
        <x:v>+5,300</x:v>
      </x:c>
      <x:c r="C3" s="15" t="str">
        <x:v>+4,900 to +5,700</x:v>
      </x:c>
      <x:c r="D3" s="15" t="str">
        <x:v>CLOSED-WORKING</x:v>
      </x:c>
      <x:c r="E3" s="15" t="str">
        <x:v>Historical-flow ledger; not current headcount</x:v>
      </x:c>
    </x:row>
    <x:row r="4" ht="79.19999694824219" hidden="0" customHeight="1">
      <x:c r="A4" s="15" t="str">
        <x:v>Japanese current China-theater headcount</x:v>
      </x:c>
      <x:c r="B4" s="15" t="str">
        <x:v>+1,300</x:v>
      </x:c>
      <x:c r="C4" s="15" t="str">
        <x:v>+900 to +1,700</x:v>
      </x:c>
      <x:c r="D4" s="15" t="str">
        <x:v>CLOSED-WORKING</x:v>
      </x:c>
      <x:c r="E4" s="15" t="str">
        <x:v>After replacement-draft absorption</x:v>
      </x:c>
    </x:row>
    <x:row r="5" ht="66" hidden="0" customHeight="1">
      <x:c r="A5" s="15" t="str">
        <x:v>Chinese effective military manpower delta</x:v>
      </x:c>
      <x:c r="B5" s="15" t="str">
        <x:v>-100</x:v>
      </x:c>
      <x:c r="C5" s="15" t="str">
        <x:v>-900 to +600</x:v>
      </x:c>
      <x:c r="D5" s="15" t="str">
        <x:v>CLOSED-WORKING</x:v>
      </x:c>
      <x:c r="E5" s="15" t="str">
        <x:v>Essentially matched history by mid-1938</x:v>
      </x:c>
    </x:row>
    <x:row r="6" ht="66" hidden="0" customHeight="1">
      <x:c r="A6" s="15" t="str">
        <x:v>Chinese preserved experienced-cadre delta</x:v>
      </x:c>
      <x:c r="B6" s="15" t="str">
        <x:v>+240</x:v>
      </x:c>
      <x:c r="C6" s="15" t="str">
        <x:v>+150 to +350</x:v>
      </x:c>
      <x:c r="D6" s="15" t="str">
        <x:v>CLOSED-WORKING</x:v>
      </x:c>
      <x:c r="E6" s="15" t="str">
        <x:v>Quality effect remains mildly positive</x:v>
      </x:c>
    </x:row>
    <x:row r="7" ht="79.19999694824219" hidden="0" customHeight="1">
      <x:c r="A7" s="15" t="str">
        <x:v>Serviceable Japanese army vehicles</x:v>
      </x:c>
      <x:c r="B7" s="15" t="str">
        <x:v>+150</x:v>
      </x:c>
      <x:c r="C7" s="15" t="str">
        <x:v>+120 to +190</x:v>
      </x:c>
      <x:c r="D7" s="15" t="str">
        <x:v>CLOSED-WORKING</x:v>
      </x:c>
      <x:c r="E7" s="15" t="str">
        <x:v>Already included in M/S; do not double count</x:v>
      </x:c>
    </x:row>
    <x:row r="8" ht="79.19999694824219" hidden="0" customHeight="1">
      <x:c r="A8" s="15" t="str">
        <x:v>Mission-capable Japanese aircraft</x:v>
      </x:c>
      <x:c r="B8" s="15" t="str">
        <x:v>+19</x:v>
      </x:c>
      <x:c r="C8" s="15" t="str">
        <x:v>+15 to +23</x:v>
      </x:c>
      <x:c r="D8" s="15" t="str">
        <x:v>CLOSED-WORKING</x:v>
      </x:c>
      <x:c r="E8" s="15" t="str">
        <x:v>Same inventory logic; serviceability/turnaround</x:v>
      </x:c>
    </x:row>
    <x:row r="9" ht="66" hidden="0" customHeight="1">
      <x:c r="A9" s="15" t="str">
        <x:v>Immediately usable Japanese artillery</x:v>
      </x:c>
      <x:c r="B9" s="15" t="str">
        <x:v>+40</x:v>
      </x:c>
      <x:c r="C9" s="15" t="str">
        <x:v>+32 to +48</x:v>
      </x:c>
      <x:c r="D9" s="15" t="str">
        <x:v>CLOSED-WORKING</x:v>
      </x:c>
      <x:c r="E9" s="15" t="str">
        <x:v>Readiness/towing/preparation, not extra guns</x:v>
      </x:c>
    </x:row>
    <x:row r="10" ht="79.19999694824219" hidden="0" customHeight="1">
      <x:c r="A10" s="15" t="str">
        <x:v>Exposed logistics/maintenance throughput</x:v>
      </x:c>
      <x:c r="B10" s="15" t="str">
        <x:v>+3.5%</x:v>
      </x:c>
      <x:c r="C10" s="15" t="str">
        <x:v>+3 to +4.5%</x:v>
      </x:c>
      <x:c r="D10" s="15" t="str">
        <x:v>CLOSED-WORKING</x:v>
      </x:c>
      <x:c r="E10" s="15" t="str">
        <x:v>Strategic rail/road/ship capacity still separate</x:v>
      </x:c>
    </x:row>
    <x:row r="11" ht="105.5999984741211" hidden="0" customHeight="1">
      <x:c r="A11" s="15" t="str">
        <x:v>Huayuankou flood</x:v>
      </x:c>
      <x:c r="B11" s="15" t="str">
        <x:v>Same breach site/date; June 9</x:v>
      </x:c>
      <x:c r="C11" s="15" t="str">
        <x:v>0-8 h local sensitivity only</x:v>
      </x:c>
      <x:c r="D11" s="15" t="str">
        <x:v>CLOSED</x:v>
      </x:c>
      <x:c r="E11" s="15" t="str">
        <x:v>Small-craft/local movement possible; heavy corridor remains broken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26.399999618530273" hidden="0" customHeight="1">
      <x:c r="A1" s="14" t="str">
        <x:v>Metric</x:v>
      </x:c>
      <x:c r="B1" s="14" t="str">
        <x:v>1937 closeout</x:v>
      </x:c>
      <x:c r="C1" s="14" t="str">
        <x:v>1938 H1 CLOSED</x:v>
      </x:c>
      <x:c r="D1" s="14" t="str">
        <x:v>Band</x:v>
      </x:c>
      <x:c r="E1" s="14" t="str">
        <x:v>Notes</x:v>
      </x:c>
    </x:row>
    <x:row r="2" ht="79.19999694824219" hidden="0" customHeight="1">
      <x:c r="A2" s="15" t="str">
        <x:v>Direct employees</x:v>
      </x:c>
      <x:c r="B2" s="15" t="n">
        <x:v>10000</x:v>
      </x:c>
      <x:c r="C2" s="15" t="n">
        <x:v>11200</x:v>
      </x:c>
      <x:c r="D2" s="15" t="str">
        <x:v>10,800-11,800</x:v>
      </x:c>
      <x:c r="E2" s="15" t="str">
        <x:v>War mix + second turbine works + service network</x:v>
      </x:c>
    </x:row>
    <x:row r="3" ht="79.19999694824219" hidden="0" customHeight="1">
      <x:c r="A3" s="15" t="str">
        <x:v>Sales (million yen)</x:v>
      </x:c>
      <x:c r="B3" s="15" t="n">
        <x:v>25.3</x:v>
      </x:c>
      <x:c r="C3" s="15" t="n">
        <x:v>15.6</x:v>
      </x:c>
      <x:c r="D3" s="15" t="str">
        <x:v>14.5-16.8</x:v>
      </x:c>
      <x:c r="E3" s="15" t="str">
        <x:v>1938 value is H1; annual run-rate ~31-33m</x:v>
      </x:c>
    </x:row>
    <x:row r="4" ht="52.79999923706055" hidden="0" customHeight="1">
      <x:c r="A4" s="15" t="str">
        <x:v>Operating profit (million yen)</x:v>
      </x:c>
      <x:c r="B4" s="15" t="n">
        <x:v>2.75</x:v>
      </x:c>
      <x:c r="C4" s="15" t="n">
        <x:v>1.75</x:v>
      </x:c>
      <x:c r="D4" s="15" t="str">
        <x:v>1.5-2.0</x:v>
      </x:c>
      <x:c r="E4" s="15" t="str">
        <x:v>1938 value is H1</x:v>
      </x:c>
    </x:row>
    <x:row r="5" ht="39.599998474121094" hidden="0" customHeight="1">
      <x:c r="A5" s="15" t="str">
        <x:v>Net profit (million yen)</x:v>
      </x:c>
      <x:c r="B5" s="15" t="n">
        <x:v>1.85</x:v>
      </x:c>
      <x:c r="C5" s="15" t="n">
        <x:v>1.08</x:v>
      </x:c>
      <x:c r="D5" s="15" t="str">
        <x:v>0.9-1.25</x:v>
      </x:c>
      <x:c r="E5" s="15" t="str">
        <x:v>1938 value is H1</x:v>
      </x:c>
    </x:row>
    <x:row r="6" ht="39.599998474121094" hidden="0" customHeight="1">
      <x:c r="A6" s="15" t="str">
        <x:v>Capex (million yen)</x:v>
      </x:c>
      <x:c r="B6" s="15" t="n">
        <x:v>3.6</x:v>
      </x:c>
      <x:c r="C6" s="15" t="n">
        <x:v>2.45</x:v>
      </x:c>
      <x:c r="D6" s="15" t="str">
        <x:v>2.2-2.8</x:v>
      </x:c>
      <x:c r="E6" s="15" t="str">
        <x:v>1938 value is H1</x:v>
      </x:c>
    </x:row>
    <x:row r="7" ht="66" hidden="0" customHeight="1">
      <x:c r="A7" s="15" t="str">
        <x:v>Assets at period end (million yen)</x:v>
      </x:c>
      <x:c r="B7" s="15" t="n">
        <x:v>23</x:v>
      </x:c>
      <x:c r="C7" s="15" t="n">
        <x:v>27.8</x:v>
      </x:c>
      <x:c r="D7" s="15" t="str">
        <x:v>26.5-29.5</x:v>
      </x:c>
      <x:c r="E7" s="15" t="str">
        <x:v>June 30 stock</x:v>
      </x:c>
    </x:row>
    <x:row r="8" ht="52.79999923706055" hidden="0" customHeight="1">
      <x:c r="A8" s="15" t="str">
        <x:v>Paid-in capital (million yen)</x:v>
      </x:c>
      <x:c r="B8" s="15" t="n">
        <x:v>9</x:v>
      </x:c>
      <x:c r="C8" s="15" t="n">
        <x:v>10.5</x:v>
      </x:c>
      <x:c r="D8" s="15" t="str">
        <x:v>10-11</x:v>
      </x:c>
      <x:c r="E8" s="15" t="str">
        <x:v>June 30 stock</x:v>
      </x:c>
    </x:row>
    <x:row r="9" ht="52.79999923706055" hidden="0" customHeight="1">
      <x:c r="A9" s="15" t="str">
        <x:v>Equity ratio</x:v>
      </x:c>
      <x:c r="B9" s="15" t="n">
        <x:v>0.61</x:v>
      </x:c>
      <x:c r="C9" s="15" t="n">
        <x:v>0.58</x:v>
      </x:c>
      <x:c r="D9" s="15" t="str">
        <x:v>0.55-0.61</x:v>
      </x:c>
      <x:c r="E9" s="15" t="str">
        <x:v>Capex temporarily raises leverage</x:v>
      </x:c>
    </x:row>
    <x:row r="10" ht="52.79999923706055" hidden="0" customHeight="1">
      <x:c r="A10" s="15" t="str">
        <x:v>Turbo factory completions</x:v>
      </x:c>
      <x:c r="B10" s="15" t="n">
        <x:v>1300</x:v>
      </x:c>
      <x:c r="C10" s="15" t="n">
        <x:v>760</x:v>
      </x:c>
      <x:c r="D10" s="15" t="str">
        <x:v>700-820</x:v>
      </x:c>
      <x:c r="E10" s="15" t="str">
        <x:v>1938 is H1 completions</x:v>
      </x:c>
    </x:row>
    <x:row r="11" ht="66" hidden="0" customHeight="1">
      <x:c r="A11" s="15" t="str">
        <x:v>Independent GT cores completed</x:v>
      </x:c>
      <x:c r="B11" s="15" t="n">
        <x:v>125</x:v>
      </x:c>
      <x:c r="C11" s="15" t="n">
        <x:v>92</x:v>
      </x:c>
      <x:c r="D11" s="15" t="str">
        <x:v>82-105</x:v>
      </x:c>
      <x:c r="E11" s="15" t="str">
        <x:v>1938 is H1</x:v>
      </x:c>
    </x:row>
    <x:row r="12" ht="52.79999923706055" hidden="0" customHeight="1">
      <x:c r="A12" s="15" t="str">
        <x:v>Flight-grade E5 aviation cores</x:v>
      </x:c>
      <x:c r="B12" s="15" t="str">
        <x:v>—</x:v>
      </x:c>
      <x:c r="C12" s="15" t="n">
        <x:v>21</x:v>
      </x:c>
      <x:c r="D12" s="15" t="str">
        <x:v>18-24</x:v>
      </x:c>
      <x:c r="E12" s="15" t="str">
        <x:v>Subset of 92</x:v>
      </x:c>
    </x:row>
    <x:row r="13" ht="52.79999923706055" hidden="0" customHeight="1">
      <x:c r="A13" s="15" t="str">
        <x:v>Military fixed/mobile GT cores</x:v>
      </x:c>
      <x:c r="B13" s="15" t="str">
        <x:v>~30-60/y</x:v>
      </x:c>
      <x:c r="C13" s="15" t="n">
        <x:v>25</x:v>
      </x:c>
      <x:c r="D13" s="15" t="str">
        <x:v>22-30</x:v>
      </x:c>
      <x:c r="E13" s="15" t="str">
        <x:v>H1</x:v>
      </x:c>
    </x:row>
    <x:row r="14" ht="39.599998474121094" hidden="0" customHeight="1">
      <x:c r="A14" s="15" t="str">
        <x:v>Civil/industrial GT cores</x:v>
      </x:c>
      <x:c r="B14" s="15" t="str">
        <x:v>remainder</x:v>
      </x:c>
      <x:c r="C14" s="15" t="n">
        <x:v>46</x:v>
      </x:c>
      <x:c r="D14" s="15" t="str">
        <x:v>40-55</x:v>
      </x:c>
      <x:c r="E14" s="15" t="str">
        <x:v>H1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52" hidden="0" customWidth="1"/>
  </x:cols>
  <x:sheetData>
    <x:row r="1" ht="52.79999923706055" hidden="0" customHeight="1">
      <x:c r="A1" s="14" t="str">
        <x:v>Second turbine works item</x:v>
      </x:c>
      <x:c r="B1" s="14" t="str">
        <x:v>1938-06-30 completion</x:v>
      </x:c>
      <x:c r="C1" s="14" t="str">
        <x:v>CLOSED ruling</x:v>
      </x:c>
    </x:row>
    <x:row r="2" ht="39.599998474121094" hidden="0" customHeight="1">
      <x:c r="A2" s="15" t="str">
        <x:v>Building / civil works</x:v>
      </x:c>
      <x:c r="B2" s="15" t="str">
        <x:v>95%</x:v>
      </x:c>
      <x:c r="C2" s="15" t="str">
        <x:v>Substantially complete</x:v>
      </x:c>
    </x:row>
    <x:row r="3" ht="39.599998474121094" hidden="0" customHeight="1">
      <x:c r="A3" s="15" t="str">
        <x:v>Machine installation</x:v>
      </x:c>
      <x:c r="B3" s="15" t="str">
        <x:v>78%</x:v>
      </x:c>
      <x:c r="C3" s="15" t="str">
        <x:v>No H1 output credited</x:v>
      </x:c>
    </x:row>
    <x:row r="4" ht="52.79999923706055" hidden="0" customHeight="1">
      <x:c r="A4" s="15" t="str">
        <x:v>Heat-treatment / grinding cells</x:v>
      </x:c>
      <x:c r="B4" s="15" t="str">
        <x:v>85%</x:v>
      </x:c>
      <x:c r="C4" s="15" t="str">
        <x:v>Qualification runs begin H2</x:v>
      </x:c>
    </x:row>
    <x:row r="5" ht="66" hidden="0" customHeight="1">
      <x:c r="A5" s="15" t="str">
        <x:v>Balancing / inspection line</x:v>
      </x:c>
      <x:c r="B5" s="15" t="str">
        <x:v>75%</x:v>
      </x:c>
      <x:c r="C5" s="15" t="str">
        <x:v>Gauge correlation still being closed</x:v>
      </x:c>
    </x:row>
    <x:row r="6" ht="66" hidden="0" customHeight="1">
      <x:c r="A6" s="15" t="str">
        <x:v>Hot test cells</x:v>
      </x:c>
      <x:c r="B6" s="15" t="str">
        <x:v>60%</x:v>
      </x:c>
      <x:c r="C6" s="15" t="str">
        <x:v>First hot-cell commissioning in July</x:v>
      </x:c>
    </x:row>
    <x:row r="7" ht="79.19999694824219" hidden="0" customHeight="1">
      <x:c r="A7" s="15" t="str">
        <x:v>Flight-grade production qualification</x:v>
      </x:c>
      <x:c r="B7" s="15" t="str">
        <x:v>0% H1 output</x:v>
      </x:c>
      <x:c r="C7" s="15" t="str">
        <x:v>Aug-Sep qualification gate</x:v>
      </x:c>
    </x:row>
    <x:row r="8" ht="66" hidden="0" customHeight="1">
      <x:c r="A8" s="15" t="str">
        <x:v>Q4 qualified output from new works</x:v>
      </x:c>
      <x:c r="B8" s="15" t="str">
        <x:v>15-25 cores/month</x:v>
      </x:c>
      <x:c r="C8" s="15" t="str">
        <x:v>Ramp output, not mature ceiling</x:v>
      </x:c>
    </x:row>
    <x:row r="9" ht="52.79999923706055" hidden="0" customHeight="1">
      <x:c r="A9" s="15" t="str">
        <x:v>1939 mature sustainable output</x:v>
      </x:c>
      <x:c r="B9" s="15" t="str">
        <x:v>600-750 cores/year</x:v>
      </x:c>
      <x:c r="C9" s="15" t="str">
        <x:v>Requires material/labor allocation</x:v>
      </x:c>
    </x:row>
    <x:row r="10" ht="52.79999923706055" hidden="0" customHeight="1">
      <x:c r="A10" s="15" t="str">
        <x:v>1939 gross equipment ceiling</x:v>
      </x:c>
      <x:c r="B10" s="15" t="str">
        <x:v>~800-900 cores/year</x:v>
      </x:c>
      <x:c r="C10" s="15" t="str">
        <x:v>Not sustainable output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4" hidden="0" customWidth="1"/>
    <x:col min="4" max="4" width="42" hidden="0" customWidth="1"/>
    <x:col min="5" max="5" width="32" hidden="0" customWidth="1"/>
    <x:col min="6" max="6" width="58" hidden="0" customWidth="1"/>
  </x:cols>
  <x:sheetData>
    <x:row r="1" ht="52.79999923706055" hidden="0" customHeight="1">
      <x:c r="A1" s="14" t="str">
        <x:v>System</x:v>
      </x:c>
      <x:c r="B1" s="14" t="str">
        <x:v>1938-06-30 CLOSED state</x:v>
      </x:c>
      <x:c r="C1" s="14" t="str">
        <x:v>Asai delta</x:v>
      </x:c>
      <x:c r="D1" s="14" t="str">
        <x:v>Quantity / effect</x:v>
      </x:c>
      <x:c r="E1" s="14" t="str">
        <x:v>Adoption / battlefield status</x:v>
      </x:c>
      <x:c r="F1" s="14" t="str">
        <x:v>Source / anchor</x:v>
      </x:c>
    </x:row>
    <x:row r="2" ht="105.5999984741211" hidden="0" customHeight="1">
      <x:c r="A2" s="15" t="str">
        <x:v>Type 96 LMG</x:v>
      </x:c>
      <x:c r="B2" s="15" t="str">
        <x:v>Use matched-history inventory; absolute 1938 production not used</x:v>
      </x:c>
      <x:c r="C2" s="15" t="str">
        <x:v>+6% accepted-output center in Asai-influenced lots</x:v>
      </x:c>
      <x:c r="D2" s="15" t="str">
        <x:v>+4-8%; field availability +1-2 pp where already issued</x:v>
      </x:c>
      <x:c r="E2" s="15" t="str">
        <x:v>No calendar shift; no separate casualty bonus</x:v>
      </x:c>
      <x:c r="F2" s="15" t="str">
        <x:v>Historical production series conflict; operational delta closed instead</x:v>
      </x:c>
    </x:row>
    <x:row r="3" ht="118.80000305175781" hidden="0" customHeight="1">
      <x:c r="A3" s="15" t="str">
        <x:v>Type 96 25 mm AA</x:v>
      </x:c>
      <x:c r="B3" s="15" t="str">
        <x:v>Improved firing-pin package in roll-out</x:v>
      </x:c>
      <x:c r="C3" s="15" t="str">
        <x:v>Pin breakage largely removed on fitted guns</x:v>
      </x:c>
      <x:c r="D3" s="15" t="str">
        <x:v>New production ~50% fitted; existing stock ~20%; high-use sites ~30%</x:v>
      </x:c>
      <x:c r="E3" s="15" t="str">
        <x:v>Magazine/tracking/director limits unchanged</x:v>
      </x:c>
      <x:c r="F3" s="15" t="str">
        <x:v>https://www.navweaps.com/Weapons/WNJAP_25mm-60_mg.php</x:v>
      </x:c>
    </x:row>
    <x:row r="4" ht="105.5999984741211" hidden="0" customHeight="1">
      <x:c r="A4" s="15" t="str">
        <x:v>Type 97 Chi-Ha</x:v>
      </x:c>
      <x:c r="B4" s="15" t="str">
        <x:v>Low-rate 1938 production; no H1 China combat issue</x:v>
      </x:c>
      <x:c r="C4" s="15" t="str">
        <x:v>Engine/QC benefit only</x:v>
      </x:c>
      <x:c r="D4" s="15" t="str">
        <x:v>1938 full-year 118 center; accepted by Jun 30 = 36 center</x:v>
      </x:c>
      <x:c r="E4" s="15" t="str">
        <x:v>Training/depot; H2 operational-unit gate</x:v>
      </x:c>
      <x:c r="F4" s="15" t="str">
        <x:v>https://en.wikipedia.org/wiki/Type_97_Chi-Ha_medium_tank</x:v>
      </x:c>
    </x:row>
    <x:row r="5" ht="66" hidden="0" customHeight="1">
      <x:c r="A5" s="15" t="str">
        <x:v>Type 97 20 mm automatic cannon</x:v>
      </x:c>
      <x:c r="B5" s="15" t="str">
        <x:v>1938 50-gun operational-trial path</x:v>
      </x:c>
      <x:c r="C5" s="15" t="str">
        <x:v>Manufacturing consistency improved</x:v>
      </x:c>
      <x:c r="D5" s="15" t="str">
        <x:v>18 accepted/trial-ready by Jun 30 center</x:v>
      </x:c>
      <x:c r="E5" s="15" t="str">
        <x:v>No broad China issue</x:v>
      </x:c>
      <x:c r="F5" s="15" t="str">
        <x:v>Current-branch 50-gun trial path</x:v>
      </x:c>
    </x:row>
    <x:row r="6" ht="92.4000015258789" hidden="0" customHeight="1">
      <x:c r="A6" s="15" t="str">
        <x:v>Type 97 81 mm mortar</x:v>
      </x:c>
      <x:c r="B6" s="15" t="str">
        <x:v>Historical adoption/ramp</x:v>
      </x:c>
      <x:c r="C6" s="15" t="str">
        <x:v>Lot acceptance/interchangeability only</x:v>
      </x:c>
      <x:c r="D6" s="15" t="str">
        <x:v>No OOB uplift; +2-4% availability in supported lots</x:v>
      </x:c>
      <x:c r="E6" s="15" t="str">
        <x:v>Use matched-history OOB</x:v>
      </x:c>
      <x:c r="F6" s="15" t="str">
        <x:v>No absolute count needed</x:v>
      </x:c>
    </x:row>
    <x:row r="7" ht="52.79999923706055" hidden="0" customHeight="1">
      <x:c r="A7" s="15" t="str">
        <x:v>Type 96 24 cm howitzer</x:v>
      </x:c>
      <x:c r="B7" s="15" t="str">
        <x:v>HOLD</x:v>
      </x:c>
      <x:c r="C7" s="15" t="str">
        <x:v>Earlier diagnosis, not more guns</x:v>
      </x:c>
      <x:c r="D7" s="15" t="str">
        <x:v>~6-8 limited/test stock</x:v>
      </x:c>
      <x:c r="E7" s="15" t="str">
        <x:v>No broad series through 1938</x:v>
      </x:c>
      <x:c r="F7" s="15" t="str">
        <x:v>Current branch</x:v>
      </x:c>
    </x:row>
    <x:row r="8" ht="145.1999969482422" hidden="0" customHeight="1">
      <x:c r="A8" s="15" t="str">
        <x:v>Type 94 37 mm dense-core AP</x:v>
      </x:c>
      <x:c r="B8" s="15" t="str">
        <x:v>A3-S limited war-reserve PASSED</x:v>
      </x:c>
      <x:c r="C8" s="15" t="str">
        <x:v>Moderate anti-armor uplift</x:v>
      </x:c>
      <x:c r="D8" s="15" t="str">
        <x:v>~2,400 finished rounds; ~50-55 mm/500 m and ~40-45 mm/1,000 m normal acceptance bands</x:v>
      </x:c>
      <x:c r="E8" s="15" t="str">
        <x:v>Primarily Manchuria reserve/proving</x:v>
      </x:c>
      <x:c r="F8" s="15" t="str">
        <x:v>https://en.wikipedia.org/wiki/Type_94_37_mm_anti-tank_gun</x:v>
      </x:c>
    </x:row>
    <x:row r="9" ht="118.80000305175781" hidden="0" customHeight="1">
      <x:c r="A9" s="15" t="str">
        <x:v>Type 97 20 mm dense-core AP</x:v>
      </x:c>
      <x:c r="B9" s="15" t="str">
        <x:v>Proof-only</x:v>
      </x:c>
      <x:c r="C9" s="15" t="str">
        <x:v>Moderate uplift</x:v>
      </x:c>
      <x:c r="D9" s="15" t="str">
        <x:v>~550 trial rounds; ~34-38 mm/250 m normal proof band</x:v>
      </x:c>
      <x:c r="E9" s="15" t="str">
        <x:v>No general acceptance</x:v>
      </x:c>
      <x:c r="F9" s="15" t="str">
        <x:v>https://modernfirearms.net/en/anti-tank-rifles/japan-anti-tank-rifles/tip-97-eng/</x:v>
      </x:c>
    </x:row>
    <x:row r="10" ht="52.79999923706055" hidden="0" customHeight="1">
      <x:c r="A10" s="15" t="str">
        <x:v>Aircraft exhaust turbo</x:v>
      </x:c>
      <x:c r="B10" s="15" t="str">
        <x:v>A2 follow-on trial</x:v>
      </x:c>
      <x:c r="C10" s="15" t="str">
        <x:v>High-altitude potential</x:v>
      </x:c>
      <x:c r="D10" s="15" t="str">
        <x:v>Cumulative trial stock ~16 center</x:v>
      </x:c>
      <x:c r="E10" s="15" t="str">
        <x:v>No mass order</x:v>
      </x:c>
      <x:c r="F10" s="15" t="str">
        <x:v>Current branch</x:v>
      </x:c>
    </x:row>
    <x:row r="11" ht="92.4000015258789" hidden="0" customHeight="1">
      <x:c r="A11" s="15" t="str">
        <x:v>Submarine 2-cycle turbo</x:v>
      </x:c>
      <x:c r="B11" s="15" t="str">
        <x:v>A3 limited trial</x:v>
      </x:c>
      <x:c r="C11" s="15" t="str">
        <x:v>Learning only</x:v>
      </x:c>
      <x:c r="D11" s="15" t="str">
        <x:v>One Navy trial installation + shore/full-size engine rig</x:v>
      </x:c>
      <x:c r="E11" s="15" t="str">
        <x:v>No fleet standard</x:v>
      </x:c>
      <x:c r="F11" s="15" t="str">
        <x:v>Hull identity non-blocking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48" hidden="0" customWidth="1"/>
    <x:col min="4" max="4" width="26" hidden="0" customWidth="1"/>
    <x:col min="5" max="5" width="42" hidden="0" customWidth="1"/>
  </x:cols>
  <x:sheetData>
    <x:row r="1" ht="39.599998474121094" hidden="0" customHeight="1">
      <x:c r="A1" s="14" t="str">
        <x:v>Branch</x:v>
      </x:c>
      <x:c r="B1" s="14" t="str">
        <x:v>1938-06-30 CLOSED state</x:v>
      </x:c>
      <x:c r="C1" s="14" t="str">
        <x:v>Numeric closure</x:v>
      </x:c>
      <x:c r="D1" s="14" t="str">
        <x:v>Stage</x:v>
      </x:c>
      <x:c r="E1" s="14" t="str">
        <x:v>Next action</x:v>
      </x:c>
    </x:row>
    <x:row r="2" ht="105.5999984741211" hidden="0" customHeight="1">
      <x:c r="A2" s="15" t="str">
        <x:v>E5 twin No.1</x:v>
      </x:c>
      <x:c r="B2" s="15" t="str">
        <x:v>Principal flying mission demonstrator</x:v>
      </x:c>
      <x:c r="C2" s="15" t="str">
        <x:v>Basic envelope ~95%; mission/single-engine 75-85%; endurance 60-70%</x:v>
      </x:c>
      <x:c r="D2" s="15" t="str">
        <x:v>A2+</x:v>
      </x:c>
      <x:c r="E2" s="15" t="str">
        <x:v>Keep as pure-jet baseline</x:v>
      </x:c>
    </x:row>
    <x:row r="3" ht="66" hidden="0" customHeight="1">
      <x:c r="A3" s="15" t="str">
        <x:v>E5 twin No.2</x:v>
      </x:c>
      <x:c r="B3" s="15" t="str">
        <x:v>Build in progress</x:v>
      </x:c>
      <x:c r="C3" s="15" t="str">
        <x:v>~70% center (60-80%)</x:v>
      </x:c>
      <x:c r="D3" s="15" t="str">
        <x:v>A2+ build</x:v>
      </x:c>
      <x:c r="E3" s="15" t="str">
        <x:v>Complete H2; preferred aft-fan carrier</x:v>
      </x:c>
    </x:row>
    <x:row r="4" ht="79.19999694824219" hidden="0" customHeight="1">
      <x:c r="A4" s="15" t="str">
        <x:v>E5 single demonstrator</x:v>
      </x:c>
      <x:c r="B4" s="15" t="str">
        <x:v>Architecture substantially validated</x:v>
      </x:c>
      <x:c r="C4" s="15" t="str">
        <x:v>~65 flight h center (55-80); basic envelope ~75%</x:v>
      </x:c>
      <x:c r="D4" s="15" t="str">
        <x:v>Research demonstrator</x:v>
      </x:c>
      <x:c r="E4" s="15" t="str">
        <x:v>No service-interceptor claim</x:v>
      </x:c>
    </x:row>
    <x:row r="5" ht="171.60000610351562" hidden="0" customHeight="1">
      <x:c r="A5" s="15" t="str">
        <x:v>E5 aft-fan</x:v>
      </x:c>
      <x:c r="B5" s="15" t="str">
        <x:v>Installed audit PASSED for flight test</x:v>
      </x:c>
      <x:c r="C5" s="15" t="str">
        <x:v>Bench 535-565 kgf; installed 515-545 kgf; dry 455-505 kg; BPR 0.8-1.0; TSFC ~15-18% below E5 pure</x:v>
      </x:c>
      <x:c r="D5" s="15" t="str">
        <x:v>A2 flight-test qualification</x:v>
      </x:c>
      <x:c r="E5" s="15" t="str">
        <x:v>Twin No.2 first aft-fan flight target Sep-Oct 1938</x:v>
      </x:c>
    </x:row>
    <x:row r="6" ht="79.19999694824219" hidden="0" customHeight="1">
      <x:c r="A6" s="15" t="str">
        <x:v>Small TP / short-field</x:v>
      </x:c>
      <x:c r="B6" s="15" t="str">
        <x:v>2-aircraft military technical field trial; total fleet 3-4</x:v>
      </x:c>
      <x:c r="C6" s="15" t="str">
        <x:v>Old STOL identity remains excluded</x:v>
      </x:c>
      <x:c r="D6" s="15" t="str">
        <x:v>A3</x:v>
      </x:c>
      <x:c r="E6" s="15" t="str">
        <x:v>Accumulate non-Asai maintenance hours</x:v>
      </x:c>
    </x:row>
    <x:row r="7" ht="66" hidden="0" customHeight="1">
      <x:c r="A7" s="15" t="str">
        <x:v>Small helicopter</x:v>
      </x:c>
      <x:c r="B7" s="15" t="str">
        <x:v>2 development airframes</x:v>
      </x:c>
      <x:c r="C7" s="15" t="str">
        <x:v>Durability/autorotation/transmission continue</x:v>
      </x:c>
      <x:c r="D7" s="15" t="str">
        <x:v>A1 military observation</x:v>
      </x:c>
      <x:c r="E7" s="15" t="str">
        <x:v>No procurement</x:v>
      </x:c>
    </x:row>
    <x:row r="8" ht="66" hidden="0" customHeight="1">
      <x:c r="A8" s="15" t="str">
        <x:v>Material No.1</x:v>
      </x:c>
      <x:c r="B8" s="15" t="str">
        <x:v>Dedicated airframe under construction</x:v>
      </x:c>
      <x:c r="C8" s="15" t="str">
        <x:v>~60% center (50-70%)</x:v>
      </x:c>
      <x:c r="D8" s="15" t="str">
        <x:v>A2</x:v>
      </x:c>
      <x:c r="E8" s="15" t="str">
        <x:v>H2 structural checkout/completion</x:v>
      </x:c>
    </x:row>
    <x:row r="9" ht="52.79999923706055" hidden="0" customHeight="1">
      <x:c r="A9" s="15" t="str">
        <x:v>Marine E5 GT small craft</x:v>
      </x:c>
      <x:c r="B9" s="15" t="str">
        <x:v>Engineering study only</x:v>
      </x:c>
      <x:c r="C9" s="15" t="str">
        <x:v>No operational craft</x:v>
      </x:c>
      <x:c r="D9" s="15" t="str">
        <x:v>A2</x:v>
      </x:c>
      <x:c r="E9" s="15" t="str">
        <x:v>Choose hull only at design gate</x:v>
      </x:c>
    </x:row>
    <x:row r="10" ht="66" hidden="0" customHeight="1">
      <x:c r="A10" s="15" t="str">
        <x:v>Propulsion test ship</x:v>
      </x:c>
      <x:c r="B10" s="15" t="str">
        <x:v>1938 technical requirement exists</x:v>
      </x:c>
      <x:c r="C10" s="15" t="str">
        <x:v>1939 design/procurement retained</x:v>
      </x:c>
      <x:c r="D10" s="15" t="str">
        <x:v>Requirement CLOSED</x:v>
      </x:c>
      <x:c r="E10" s="15" t="str">
        <x:v>Maintain 1940 hull / 1941 full-test schedule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50" hidden="0" customWidth="1"/>
  </x:cols>
  <x:sheetData>
    <x:row r="1" ht="26.399999618530273" hidden="0" customHeight="1">
      <x:c r="A1" s="14" t="str">
        <x:v>Metric</x:v>
      </x:c>
      <x:c r="B1" s="14" t="str">
        <x:v>1937 baseline</x:v>
      </x:c>
      <x:c r="C1" s="14" t="str">
        <x:v>1938 H1 CLOSED</x:v>
      </x:c>
      <x:c r="D1" s="14" t="str">
        <x:v>Notes</x:v>
      </x:c>
    </x:row>
    <x:row r="2" ht="26.399999618530273" hidden="0" customHeight="1">
      <x:c r="A2" s="15" t="str">
        <x:v>Personnel</x:v>
      </x:c>
      <x:c r="B2" s="15" t="n">
        <x:v>400</x:v>
      </x:c>
      <x:c r="C2" s="15" t="n">
        <x:v>450</x:v>
      </x:c>
      <x:c r="D2" s="15" t="str">
        <x:v>430-480 band</x:v>
      </x:c>
    </x:row>
    <x:row r="3" ht="39.599998474121094" hidden="0" customHeight="1">
      <x:c r="A3" s="15" t="str">
        <x:v>H1 sales (million yen)</x:v>
      </x:c>
      <x:c r="B3" s="15" t="str">
        <x:v>~1.72 full-year</x:v>
      </x:c>
      <x:c r="C3" s="15" t="n">
        <x:v>1.05</x:v>
      </x:c>
      <x:c r="D3" s="15" t="str">
        <x:v>Annualized ~2.1m</x:v>
      </x:c>
    </x:row>
    <x:row r="4" ht="52.79999923706055" hidden="0" customHeight="1">
      <x:c r="A4" s="15" t="str">
        <x:v>Turbo completion/service units</x:v>
      </x:c>
      <x:c r="B4" s="15" t="str">
        <x:v>~100 full-year</x:v>
      </x:c>
      <x:c r="C4" s="15" t="n">
        <x:v>65</x:v>
      </x:c>
      <x:c r="D4" s="15" t="str">
        <x:v>55-75 band</x:v>
      </x:c>
    </x:row>
    <x:row r="5" ht="26.399999618530273" hidden="0" customHeight="1">
      <x:c r="A5" s="15" t="str">
        <x:v>GT cores / sets</x:v>
      </x:c>
      <x:c r="B5" s="15" t="str">
        <x:v>~10 full-year</x:v>
      </x:c>
      <x:c r="C5" s="15" t="n">
        <x:v>6</x:v>
      </x:c>
      <x:c r="D5" s="15" t="str">
        <x:v>5-8 band</x:v>
      </x:c>
    </x:row>
    <x:row r="6" ht="39.599998474121094" hidden="0" customHeight="1">
      <x:c r="A6" s="15" t="str">
        <x:v>Technical/computation FSE</x:v>
      </x:c>
      <x:c r="B6" s="15" t="str">
        <x:v>~34-40</x:v>
      </x:c>
      <x:c r="C6" s="15" t="n">
        <x:v>38</x:v>
      </x:c>
      <x:c r="D6" s="15" t="str">
        <x:v>Army/industrial priority</x:v>
      </x:c>
    </x:row>
    <x:row r="7" ht="39.599998474121094" hidden="0" customHeight="1">
      <x:c r="A7" s="15" t="str">
        <x:v>Mobile repair teams</x:v>
      </x:c>
      <x:c r="B7" s="15" t="str">
        <x:v>~6</x:v>
      </x:c>
      <x:c r="C7" s="15" t="n">
        <x:v>8</x:v>
      </x:c>
      <x:c r="D7" s="15" t="str">
        <x:v>Truck/tool/power packages</x:v>
      </x:c>
    </x:row>
    <x:row r="8" ht="79.19999694824219" hidden="0" customHeight="1">
      <x:c r="A8" s="15" t="str">
        <x:v>37 mm special AP in Kwantung technical reserve</x:v>
      </x:c>
      <x:c r="B8" s="15" t="n">
        <x:v>0</x:v>
      </x:c>
      <x:c r="C8" s="15" t="n">
        <x:v>1400</x:v>
      </x:c>
      <x:c r="D8" s="15" t="str">
        <x:v>Rounds; no field issue yet</x:v>
      </x:c>
    </x:row>
    <x:row r="9" ht="26.399999618530273" hidden="0" customHeight="1">
      <x:c r="A9" s="15" t="str">
        <x:v>20 mm special AP</x:v>
      </x:c>
      <x:c r="B9" s="15" t="str">
        <x:v>proof only</x:v>
      </x:c>
      <x:c r="C9" s="15" t="n">
        <x:v>200</x:v>
      </x:c>
      <x:c r="D9" s="15" t="str">
        <x:v>Trial/proving rounds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46" hidden="0" customWidth="1"/>
    <x:col min="4" max="4" width="48" hidden="0" customWidth="1"/>
  </x:cols>
  <x:sheetData>
    <x:row r="1" ht="39.599998474121094" hidden="0" customHeight="1">
      <x:c r="A1" s="14" t="str">
        <x:v>Flood-support item</x:v>
      </x:c>
      <x:c r="B1" s="14" t="str">
        <x:v>1938-06-30 CLOSED quantity</x:v>
      </x:c>
      <x:c r="C1" s="14" t="str">
        <x:v>Effect</x:v>
      </x:c>
      <x:c r="D1" s="14" t="str">
        <x:v>Limit</x:v>
      </x:c>
    </x:row>
    <x:row r="2" ht="105.5999984741211" hidden="0" customHeight="1">
      <x:c r="A2" s="15" t="str">
        <x:v>Epoxy/electrical sealing kits</x:v>
      </x:c>
      <x:c r="B2" s="15" t="n">
        <x:v>44</x:v>
      </x:c>
      <x:c r="C2" s="15" t="str">
        <x:v>Waterproofing/repair of cable joints, boxes, pumps, radios/ignition</x:v>
      </x:c>
      <x:c r="D2" s="15" t="str">
        <x:v>Local support only</x:v>
      </x:c>
    </x:row>
    <x:row r="3" ht="79.19999694824219" hidden="0" customHeight="1">
      <x:c r="A3" s="15" t="str">
        <x:v>Priority-treated small craft / stations</x:v>
      </x:c>
      <x:c r="B3" s="15" t="n">
        <x:v>22</x:v>
      </x:c>
      <x:c r="C3" s="15" t="str">
        <x:v>Mission-capable rate +5-8 pp on treated assets</x:v>
      </x:c>
      <x:c r="D3" s="15" t="str">
        <x:v>Not a new boat fleet</x:v>
      </x:c>
    </x:row>
    <x:row r="4" ht="66" hidden="0" customHeight="1">
      <x:c r="A4" s="15" t="str">
        <x:v>Mobile GT/power sets at key flood-edge nodes</x:v>
      </x:c>
      <x:c r="B4" s="15" t="n">
        <x:v>6</x:v>
      </x:c>
      <x:c r="C4" s="15" t="str">
        <x:v>Pumps, repair, charging, radio/lighting</x:v>
      </x:c>
      <x:c r="D4" s="15" t="str">
        <x:v>High-value nodes only</x:v>
      </x:c>
    </x:row>
    <x:row r="5" ht="92.4000015258789" hidden="0" customHeight="1">
      <x:c r="A5" s="15" t="str">
        <x:v>Workshop/recovery packages near flood edge</x:v>
      </x:c>
      <x:c r="B5" s="15" t="n">
        <x:v>4</x:v>
      </x:c>
      <x:c r="C5" s="15" t="str">
        <x:v>Repair and water-edge logistics</x:v>
      </x:c>
      <x:c r="D5" s="15" t="str">
        <x:v>Cannot cross the flood plain as a mechanized corridor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2" hidden="0" customWidth="1"/>
    <x:col min="3" max="3" width="22" hidden="0" customWidth="1"/>
  </x:cols>
  <x:sheetData>
    <x:row r="1" ht="26.399999618530273" hidden="0" customHeight="1">
      <x:c r="A1" s="14" t="str">
        <x:v>Item</x:v>
      </x:c>
      <x:c r="B1" s="14" t="str">
        <x:v>Resolution</x:v>
      </x:c>
      <x:c r="C1" s="14" t="str">
        <x:v>Blocks July 1938?</x:v>
      </x:c>
    </x:row>
    <x:row r="2" ht="118.80000305175781" hidden="0" customHeight="1">
      <x:c r="A2" s="15" t="str">
        <x:v>Type 96 LMG absolute national 1938 production</x:v>
      </x:c>
      <x:c r="B2" s="15" t="str">
        <x:v>Not fixed; conflicting historical series. Operational availability delta is CLOSED.</x:v>
      </x:c>
      <x:c r="C2" s="15" t="str">
        <x:v>NO</x:v>
      </x:c>
    </x:row>
    <x:row r="3" ht="132" hidden="0" customHeight="1">
      <x:c r="A3" s="15" t="str">
        <x:v>Type 96 24 cm exact root cause</x:v>
      </x:c>
      <x:c r="B3" s="15" t="str">
        <x:v>Program frozen; exact root cause not needed for procurement or battle model.</x:v>
      </x:c>
      <x:c r="C3" s="15" t="str">
        <x:v>NO</x:v>
      </x:c>
    </x:row>
    <x:row r="4" ht="105.5999984741211" hidden="0" customHeight="1">
      <x:c r="A4" s="15" t="str">
        <x:v>Submarine test-hull identity</x:v>
      </x:c>
      <x:c r="B4" s="15" t="str">
        <x:v>One trial installation exists; hull name deferred to naval-specific gate.</x:v>
      </x:c>
      <x:c r="C4" s="15" t="str">
        <x:v>NO</x:v>
      </x:c>
    </x:row>
    <x:row r="5" ht="118.80000305175781" hidden="0" customHeight="1">
      <x:c r="A5" s="15" t="str">
        <x:v>Marine-GT test-hull identity</x:v>
      </x:c>
      <x:c r="B5" s="15" t="str">
        <x:v>No operational construction yet; choose only at design gate.</x:v>
      </x:c>
      <x:c r="C5" s="15" t="str">
        <x:v>NO</x:v>
      </x:c>
    </x:row>
    <x:row r="6" ht="92.4000015258789" hidden="0" customHeight="1">
      <x:c r="A6" s="15" t="str">
        <x:v>1938 full-year Asai P&amp;L</x:v>
      </x:c>
      <x:c r="B6" s="15" t="str">
        <x:v>H1 status CLOSED; H2 choices determine full-year result.</x:v>
      </x:c>
      <x:c r="C6" s="15" t="str">
        <x:v>NO</x:v>
      </x:c>
    </x:row>
    <x:row r="7" ht="118.80000305175781" hidden="0" customHeight="1">
      <x:c r="A7" s="15" t="str">
        <x:v>E5 aft-fan service rating/TBO</x:v>
      </x:c>
      <x:c r="B7" s="15" t="str">
        <x:v>Flight-test rating CLOSED; service rating intentionally does not yet exist.</x:v>
      </x:c>
      <x:c r="C7" s="15" t="str">
        <x:v>NO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6" hidden="0" customWidth="1"/>
  </x:cols>
  <x:sheetData>
    <x:row r="1" ht="52.79999923706055" hidden="0" customHeight="1">
      <x:c r="A1" s="14" t="str">
        <x:v>Segment</x:v>
      </x:c>
      <x:c r="B1" s="14" t="str">
        <x:v>1938 H1 sales (million yen)</x:v>
      </x:c>
    </x:row>
    <x:row r="2" ht="66" hidden="0" customHeight="1">
      <x:c r="A2" s="15" t="str">
        <x:v>Steels / HSS / carbide / cutting tools</x:v>
      </x:c>
      <x:c r="B2" s="15" t="n">
        <x:v>5.6</x:v>
      </x:c>
    </x:row>
    <x:row r="3" ht="79.19999694824219" hidden="0" customHeight="1">
      <x:c r="A3" s="15" t="str">
        <x:v>Jigs / gauges / machine tools / precision work</x:v>
      </x:c>
      <x:c r="B3" s="15" t="n">
        <x:v>2.2</x:v>
      </x:c>
    </x:row>
    <x:row r="4" ht="52.79999923706055" hidden="0" customHeight="1">
      <x:c r="A4" s="15" t="str">
        <x:v>Exhaust turbo / diesel auxiliaries</x:v>
      </x:c>
      <x:c r="B4" s="15" t="n">
        <x:v>2.1</x:v>
      </x:c>
    </x:row>
    <x:row r="5" ht="52.79999923706055" hidden="0" customHeight="1">
      <x:c r="A5" s="15" t="str">
        <x:v>Independent GT / mobile power</x:v>
      </x:c>
      <x:c r="B5" s="15" t="n">
        <x:v>1.6</x:v>
      </x:c>
    </x:row>
    <x:row r="6" ht="39.599998474121094" hidden="0" customHeight="1">
      <x:c r="A6" s="15" t="str">
        <x:v>Industrial turbomachinery</x:v>
      </x:c>
      <x:c r="B6" s="15" t="n">
        <x:v>1.35</x:v>
      </x:c>
    </x:row>
    <x:row r="7" ht="66" hidden="0" customHeight="1">
      <x:c r="A7" s="15" t="str">
        <x:v>Computation / business machines / services</x:v>
      </x:c>
      <x:c r="B7" s="15" t="n">
        <x:v>0.85</x:v>
      </x:c>
    </x:row>
    <x:row r="8" ht="52.79999923706055" hidden="0" customHeight="1">
      <x:c r="A8" s="15" t="str">
        <x:v>Materials / general machinery / other</x:v>
      </x:c>
      <x:c r="B8" s="15" t="n">
        <x:v>1.9</x:v>
      </x:c>
    </x:row>
    <x:row r="10">
      <x:c r="A10" s="19" t="str">
        <x:v>Total H1 sales</x:v>
      </x:c>
      <x:c r="B10" s="19" t="n">
        <x:f>SUM(B2:B8)</x:f>
        <x:v>15.6</x:v>
      </x:c>
    </x:row>
  </x:sheetData>
  <x:pageMargins left="0.7" right="0.7" top="0.75" bottom="0.75" header="0.3" footer="0.3"/>
  <x:drawing xmlns:r="http://schemas.openxmlformats.org/officeDocument/2006/relationships" r:id="Rf0f9ead3ed3841b8"/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2" hidden="0" customWidth="1"/>
    <x:col min="3" max="3" width="68" hidden="0" customWidth="1"/>
  </x:cols>
  <x:sheetData>
    <x:row r="1" ht="15" hidden="0" customHeight="1">
      <x:c r="A1" s="14" t="str">
        <x:v>Topic</x:v>
      </x:c>
      <x:c r="B1" s="14" t="str">
        <x:v>URL</x:v>
      </x:c>
      <x:c r="C1" s="14" t="str">
        <x:v>Use</x:v>
      </x:c>
    </x:row>
    <x:row r="2" ht="92.4000015258789" hidden="0" customHeight="1">
      <x:c r="A2" s="15" t="str">
        <x:v>Chi-Ha 1938 production</x:v>
      </x:c>
      <x:c r="B2" s="15" t="str">
        <x:v>https://en.wikipedia.org/wiki/Type_97_Chi-Ha_medium_tank</x:v>
      </x:c>
      <x:c r="C2" s="15" t="str">
        <x:v>Historical 1938 anchor = 110</x:v>
      </x:c>
    </x:row>
    <x:row r="3" ht="92.4000015258789" hidden="0" customHeight="1">
      <x:c r="A3" s="15" t="str">
        <x:v>Type 96 25 mm firing pin</x:v>
      </x:c>
      <x:c r="B3" s="15" t="str">
        <x:v>https://www.navweaps.com/Weapons/WNJAP_25mm-60_mg.php</x:v>
      </x:c>
      <x:c r="C3" s="15" t="str">
        <x:v>Original pin ~250 rounds; improved design ~4,000</x:v>
      </x:c>
    </x:row>
    <x:row r="4" ht="92.4000015258789" hidden="0" customHeight="1">
      <x:c r="A4" s="15" t="str">
        <x:v>Type 94 37 mm standard</x:v>
      </x:c>
      <x:c r="B4" s="15" t="str">
        <x:v>https://en.wikipedia.org/wiki/Type_94_37_mm_anti-tank_gun</x:v>
      </x:c>
      <x:c r="C4" s="15" t="str">
        <x:v>Standard ballistic/penetration anchor</x:v>
      </x:c>
    </x:row>
    <x:row r="5" ht="118.80000305175781" hidden="0" customHeight="1">
      <x:c r="A5" s="15" t="str">
        <x:v>Type 97 20 mm standard</x:v>
      </x:c>
      <x:c r="B5" s="15" t="str">
        <x:v>https://modernfirearms.net/en/anti-tank-rifles/japan-anti-tank-rifles/tip-97-eng/</x:v>
      </x:c>
      <x:c r="C5" s="15" t="str">
        <x:v>~30 mm at 250 m anchor</x:v>
      </x:c>
    </x:row>
    <x:row r="6" ht="79.19999694824219" hidden="0" customHeight="1">
      <x:c r="A6" s="15" t="str">
        <x:v>Type 96 LMG total overview</x:v>
      </x:c>
      <x:c r="B6" s="15" t="str">
        <x:v>https://en.wikipedia.org/wiki/Type_96_light_machine_gun</x:v>
      </x:c>
      <x:c r="C6" s="15" t="str">
        <x:v>Multi-arsenal total overview</x:v>
      </x:c>
    </x:row>
    <x:row r="7" ht="118.80000305175781" hidden="0" customHeight="1">
      <x:c r="A7" s="15" t="str">
        <x:v>Type 96 LMG conflicting annual series</x:v>
      </x:c>
      <x:c r="B7" s="15" t="str">
        <x:v>https://de.wikipedia.org/wiki/Leichtes_Maschinengewehr_Typ_96</x:v>
      </x:c>
      <x:c r="C7" s="15" t="str">
        <x:v>Shows why absolute H1 count is not made a branch dependency</x:v>
      </x:c>
    </x:row>
  </x:sheetData>
  <x:pageMargins left="0.7" right="0.7" top="0.75" bottom="0.75" header="0.3" footer="0.3"/>
</x:worksheet>
</file>