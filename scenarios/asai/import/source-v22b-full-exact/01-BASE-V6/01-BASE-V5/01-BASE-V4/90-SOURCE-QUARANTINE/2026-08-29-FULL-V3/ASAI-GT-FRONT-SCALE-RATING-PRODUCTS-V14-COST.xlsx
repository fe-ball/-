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97c45b18d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a70144cfa154ff6"/>
    <x:sheet xmlns:r="http://schemas.openxmlformats.org/officeDocument/2006/relationships" name="01_GEN_FRONT" sheetId="2" r:id="Ra14921631ef94cd3"/>
    <x:sheet xmlns:r="http://schemas.openxmlformats.org/officeDocument/2006/relationships" name="02_RATING_MODEL" sheetId="3" r:id="Re5d20b1734e94f2a"/>
    <x:sheet xmlns:r="http://schemas.openxmlformats.org/officeDocument/2006/relationships" name="03_SHAFT_ENVELOPE" sheetId="4" r:id="Rc039a87511224aad"/>
    <x:sheet xmlns:r="http://schemas.openxmlformats.org/officeDocument/2006/relationships" name="04_REAR_END" sheetId="5" r:id="Rabe582ecde374614"/>
    <x:sheet xmlns:r="http://schemas.openxmlformats.org/officeDocument/2006/relationships" name="05_USE_CASES" sheetId="6" r:id="Rcbe4d561123c422c"/>
    <x:sheet xmlns:r="http://schemas.openxmlformats.org/officeDocument/2006/relationships" name="06_PRODUCTS" sheetId="7" r:id="R709108155e93443d"/>
    <x:sheet xmlns:r="http://schemas.openxmlformats.org/officeDocument/2006/relationships" name="07_TIMELINE" sheetId="8" r:id="R7e12647e769b4203"/>
    <x:sheet xmlns:r="http://schemas.openxmlformats.org/officeDocument/2006/relationships" name="08_OPEN_GATES" sheetId="9" r:id="R1cf0883c6c4448af"/>
    <x:sheet xmlns:r="http://schemas.openxmlformats.org/officeDocument/2006/relationships" name="09_COST_ASSUMPTIONS" sheetId="10" r:id="R715b6b83fcd447f4"/>
    <x:sheet xmlns:r="http://schemas.openxmlformats.org/officeDocument/2006/relationships" name="10_ENGINE_PRICE" sheetId="11" r:id="R278b5d51772749a0"/>
    <x:sheet xmlns:r="http://schemas.openxmlformats.org/officeDocument/2006/relationships" name="11_FUEL_PRICE" sheetId="12" r:id="R4d436ff52a4c43f2"/>
    <x:sheet xmlns:r="http://schemas.openxmlformats.org/officeDocument/2006/relationships" name="12_OPERATING_COST" sheetId="13" r:id="R12fa68e0ae6a4033"/>
    <x:sheet xmlns:r="http://schemas.openxmlformats.org/officeDocument/2006/relationships" name="13_SUBMISSION" sheetId="14" r:id="R4b5f86b2a98c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0.00"/>
    <x:numFmt numFmtId="202" formatCode="0.000"/>
    <x:numFmt numFmtId="203" formatCode="0%"/>
    <x:numFmt numFmtId="204" formatCode="0"/>
    <x:numFmt numFmtId="205" formatCode="#,##0.0;[Red](#,##0.0);-"/>
    <x:numFmt numFmtId="206" formatCode="0.00x"/>
    <x:numFmt numFmtId="207" formatCode="#,##0 &quot;¥&quot;"/>
    <x:numFmt numFmtId="208" formatCode="#,##0.000;[Red](#,##0.000);-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sz val="11"/>
      <x:color rgb="FF66666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5" fontId="5" fillId="0" borderId="0" xfId="0" applyNumberFormat="1" applyFont="1" applyFill="1" applyBorder="1"/>
    <x:xf numFmtId="205" fontId="6" fillId="0" borderId="0" xfId="0" applyNumberFormat="1" applyFont="1" applyFill="1" applyBorder="1"/>
    <x:xf numFmtId="205" fontId="0" fillId="0" borderId="0" xfId="0" applyNumberFormat="1" applyFont="1" applyFill="1" applyBorder="1"/>
    <x:xf numFmtId="206" fontId="6" fillId="0" borderId="0" xfId="0" applyNumberFormat="1" applyFont="1" applyFill="1" applyBorder="1"/>
    <x:xf numFmtId="205" fontId="5" fillId="0" borderId="0" xfId="0" applyNumberFormat="1" applyFont="1" applyFill="1" applyBorder="1" applyAlignment="1">
      <x:alignment wrapText="1"/>
    </x:xf>
    <x:xf numFmtId="206" fontId="6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207" fontId="0" fillId="0" borderId="0" xfId="0" applyNumberFormat="1" applyFont="1" applyFill="1" applyBorder="1"/>
    <x:xf numFmtId="202" fontId="5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208" fontId="5" fillId="0" borderId="0" xfId="0" applyNumberFormat="1" applyFont="1" applyFill="1" applyBorder="1"/>
    <x:xf numFmtId="208" fontId="6" fillId="0" borderId="0" xfId="0" applyNumberFormat="1" applyFont="1" applyFill="1" applyBorder="1"/>
    <x:xf numFmtId="208" fontId="5" fillId="0" borderId="0" xfId="0" applyNumberFormat="1" applyFont="1" applyFill="1" applyBorder="1" applyAlignment="1">
      <x:alignment wrapText="1"/>
    </x:xf>
    <x:xf numFmtId="208" fontId="6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e55da3e2247fa" /><Relationship Type="http://schemas.openxmlformats.org/officeDocument/2006/relationships/theme" Target="/xl/theme/theme1.xml" Id="Rbf38d4c753cc4ade" /><Relationship Type="http://schemas.openxmlformats.org/officeDocument/2006/relationships/sharedStrings" Target="/xl/sharedStrings.xml" Id="R02f5e94ce34043c7" /><Relationship Type="http://schemas.openxmlformats.org/officeDocument/2006/relationships/worksheet" Target="/xl/worksheets/sheet1.xml" Id="R1a70144cfa154ff6" /><Relationship Type="http://schemas.openxmlformats.org/officeDocument/2006/relationships/worksheet" Target="/xl/worksheets/sheet2.xml" Id="Ra14921631ef94cd3" /><Relationship Type="http://schemas.openxmlformats.org/officeDocument/2006/relationships/worksheet" Target="/xl/worksheets/sheet3.xml" Id="Re5d20b1734e94f2a" /><Relationship Type="http://schemas.openxmlformats.org/officeDocument/2006/relationships/worksheet" Target="/xl/worksheets/sheet4.xml" Id="Rc039a87511224aad" /><Relationship Type="http://schemas.openxmlformats.org/officeDocument/2006/relationships/worksheet" Target="/xl/worksheets/sheet5.xml" Id="Rabe582ecde374614" /><Relationship Type="http://schemas.openxmlformats.org/officeDocument/2006/relationships/worksheet" Target="/xl/worksheets/sheet6.xml" Id="Rcbe4d561123c422c" /><Relationship Type="http://schemas.openxmlformats.org/officeDocument/2006/relationships/worksheet" Target="/xl/worksheets/sheet7.xml" Id="R709108155e93443d" /><Relationship Type="http://schemas.openxmlformats.org/officeDocument/2006/relationships/worksheet" Target="/xl/worksheets/sheet8.xml" Id="R7e12647e769b4203" /><Relationship Type="http://schemas.openxmlformats.org/officeDocument/2006/relationships/worksheet" Target="/xl/worksheets/sheet9.xml" Id="R1cf0883c6c4448af" /><Relationship Type="http://schemas.openxmlformats.org/officeDocument/2006/relationships/worksheet" Target="/xl/worksheets/sheet10.xml" Id="R715b6b83fcd447f4" /><Relationship Type="http://schemas.openxmlformats.org/officeDocument/2006/relationships/worksheet" Target="/xl/worksheets/sheet11.xml" Id="R278b5d51772749a0" /><Relationship Type="http://schemas.openxmlformats.org/officeDocument/2006/relationships/worksheet" Target="/xl/worksheets/sheet12.xml" Id="R4d436ff52a4c43f2" /><Relationship Type="http://schemas.openxmlformats.org/officeDocument/2006/relationships/worksheet" Target="/xl/worksheets/sheet13.xml" Id="R12fa68e0ae6a4033" /><Relationship Type="http://schemas.openxmlformats.org/officeDocument/2006/relationships/worksheet" Target="/xl/worksheets/sheet14.xml" Id="R4b5f86b2a98c4c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d62decaa484f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Scale frontier by E-generation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Largest product kg/s</c:v>
          </c:tx>
          <c:marker>
            <c:symbol val="none"/>
          </c:marker>
          <c:cat>
            <c:strRef>
              <c:f>'01_GEN_FRONT'!$Q$4:$Q$9</c:f>
              <c:strCache>
                <c:ptCount val="0"/>
              </c:strCache>
            </c:strRef>
          </c:cat>
          <c:val>
            <c:numRef>
              <c:f>'01_GEN_FRONT'!$R$4:$R$9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R2 full-core max</c:v>
          </c:tx>
          <c:marker>
            <c:symbol val="none"/>
          </c:marker>
          <c:cat>
            <c:strRef>
              <c:f>'01_GEN_FRONT'!$Q$4:$Q$9</c:f>
              <c:strCache>
                <c:ptCount val="0"/>
              </c:strCache>
            </c:strRef>
          </c:cat>
          <c:val>
            <c:numRef>
              <c:f>'01_GEN_FRONT'!$S$4:$S$9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R1 component max</c:v>
          </c:tx>
          <c:marker>
            <c:symbol val="none"/>
          </c:marker>
          <c:cat>
            <c:strRef>
              <c:f>'01_GEN_FRONT'!$Q$4:$Q$9</c:f>
              <c:strCache>
                <c:ptCount val="0"/>
              </c:strCache>
            </c:strRef>
          </c:cat>
          <c:val>
            <c:numRef>
              <c:f>'01_GEN_FRONT'!$T$4:$T$9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10</xdr:row>
      <xdr:rowOff>0</xdr:rowOff>
    </xdr:from>
    <xdr:to>
      <xdr:col>25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d62decaa484f9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2e2d6c5972a435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5" t="str">
        <x:v>浅井GT 技術前線・規模・Rating・商品抽出台帳 V14-COST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Purpose</x:v>
      </x:c>
      <x:c r="B3" s="18" t="str">
        <x:v>E1–E6の技術前線を、規模帯・rating・後端・用途に展開し、可能包絡から実際の商品/試験型を抽出する裏台帳。</x:v>
      </x:c>
    </x:row>
    <x:row r="4">
      <x:c r="A4" s="13" t="str">
        <x:v>Rule 1</x:v>
      </x:c>
      <x:c r="B4" s="18" t="str">
        <x:v>E世代は一個の型式ではない。Generation × Scale × Rear-end × Rating × Installation で商品を定義する。</x:v>
      </x:c>
    </x:row>
    <x:row r="5">
      <x:c r="A5" s="13" t="str">
        <x:v>Rule 2</x:v>
      </x:c>
      <x:c r="B5" s="18" t="str">
        <x:v>商品化されていなくても、R0/R1/R2として一段先の規模を研究できる。大型化は単純比例ではなく、径・軸・disk・燃焼均一性・始動・試験設備を別に払う。</x:v>
      </x:c>
    </x:row>
    <x:row r="6">
      <x:c r="A6" s="13" t="str">
        <x:v>Rule 3</x:v>
      </x:c>
      <x:c r="B6" s="18" t="str">
        <x:v>長寿命用途は最大TITを使わない。低温ratingで出力を意図的に落とし、creep/酸化/bearing/surge/汚損余裕へ返す。</x:v>
      </x:c>
    </x:row>
    <x:row r="7">
      <x:c r="A7" s="13" t="str">
        <x:v>Rule 4</x:v>
      </x:c>
      <x:c r="B7" s="18" t="str">
        <x:v>TP研究はjet航空の派生ではなく、GTを軸仕事機械として使い始めた時点から連続。航空商品化は軽量減速機・prop governor等の成熟を別に払う。</x:v>
      </x:c>
    </x:row>
    <x:row r="8">
      <x:c r="A8" s="13" t="str">
        <x:v>Status legend</x:v>
      </x:c>
      <x:c r="B8" s="18" t="str">
        <x:v>FIXED-UPSTREAM=正本値、DERIVED-WORKING=一次モデル、OPEN=機体/用途連合auditで閉じる、R0=設計、R1=component/sector、R2=full hot experimental、P=product/qualified。</x:v>
      </x:c>
    </x:row>
    <x:row r="9">
      <x:c r="A9" s="13" t="str">
        <x:v>Fuel model</x:v>
      </x:c>
      <x:c r="B9" s="18" t="str">
        <x:v>LHV=43 MJ/kg。simple shaft SFC = 3.6/(LHV×installed thermal efficiency)。installed thermal efficiencyは世代座標に補正係数を掛ける。</x:v>
      </x:c>
    </x:row>
    <x:row r="10">
      <x:c r="A10" s="13" t="str">
        <x:v>Caution</x:v>
      </x:c>
      <x:c r="B10" s="18" t="str">
        <x:v>このxlsxは可能包絡と意思決定用。OPEN値を制式/量産実績として扱わない。</x:v>
      </x:c>
    </x:row>
    <x:row r="11">
      <x:c r="A11" s="13" t="str">
        <x:v>Primary sources</x:v>
      </x:c>
      <x:c r="B11" s="18" t="str">
        <x:v>asai-works-engine-capability-core-e1-e9.md / asai-works-propulsion-roadmap.md / ASAI-E3-E4-JET-FLIGHT-ORIGIN-V12.md / ASAI-SINGLE-REAR-JET-SIZING-V11.md</x:v>
      </x:c>
    </x:row>
    <x:row r="13">
      <x:c r="A13" s="21" t="str">
        <x:v>読み方：01→世代前線、02→rating、03→shaft/scale包絡、04→jet/fan後端、05→用途成熟、06→実商品候補、07→時間軸、08→未閉鎖gate</x:v>
      </x:c>
      <x:c r="B13" s="21"/>
      <x:c r="C13" s="21"/>
      <x:c r="D13" s="21"/>
      <x:c r="E13" s="21"/>
      <x:c r="F13" s="21"/>
      <x:c r="G13" s="21"/>
      <x:c r="H13" s="21"/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8" hidden="0" customWidth="1"/>
    <x:col min="4" max="4" width="9" hidden="0" customWidth="1"/>
    <x:col min="5" max="5" width="8" hidden="0" customWidth="1"/>
    <x:col min="6" max="6" width="12" hidden="0" customWidth="1"/>
    <x:col min="7" max="7" width="19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6" hidden="0" customWidth="1"/>
    <x:col min="15" max="15" width="48" hidden="0" customWidth="1"/>
  </x:cols>
  <x:sheetData>
    <x:row r="1">
      <x:c r="A1" s="5" t="str">
        <x:v>Generation Front / Scale Envelope Inputs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28" t="str">
        <x:v>Gen</x:v>
      </x:c>
      <x:c r="B3" s="28" t="str">
        <x:v>Years</x:v>
      </x:c>
      <x:c r="C3" s="28" t="str">
        <x:v>PR</x:v>
      </x:c>
      <x:c r="D3" s="28" t="str">
        <x:v>TIT °C</x:v>
      </x:c>
      <x:c r="E3" s="28" t="str">
        <x:v>ηc</x:v>
      </x:c>
      <x:c r="F3" s="28" t="str">
        <x:v>Thermal coord</x:v>
      </x:c>
      <x:c r="G3" s="28" t="str">
        <x:v>Gross specific work kJ/kg</x:v>
      </x:c>
      <x:c r="H3" s="28" t="str">
        <x:v>Representative product/test flow kg/s</x:v>
      </x:c>
      <x:c r="I3" s="28" t="str">
        <x:v>Largest product flow kg/s</x:v>
      </x:c>
      <x:c r="J3" s="28" t="str">
        <x:v>R2 full-core max kg/s</x:v>
      </x:c>
      <x:c r="K3" s="28" t="str">
        <x:v>R1 component max kg/s</x:v>
      </x:c>
      <x:c r="L3" s="28" t="str">
        <x:v>Installed work factor</x:v>
      </x:c>
      <x:c r="M3" s="28" t="str">
        <x:v>Installed shaft-eff factor</x:v>
      </x:c>
      <x:c r="N3" s="28" t="str">
        <x:v>Scale status</x:v>
      </x:c>
      <x:c r="O3" s="28" t="str">
        <x:v>Notes</x:v>
      </x:c>
      <x:c r="Q3" s="28" t="str">
        <x:v>Gen</x:v>
      </x:c>
      <x:c r="R3" s="28" t="str">
        <x:v>Largest product kg/s</x:v>
      </x:c>
      <x:c r="S3" s="28" t="str">
        <x:v>R2 full-core max</x:v>
      </x:c>
      <x:c r="T3" s="28" t="str">
        <x:v>R1 component max</x:v>
      </x:c>
    </x:row>
    <x:row r="4">
      <x:c r="A4" t="str">
        <x:v>E1</x:v>
      </x:c>
      <x:c r="B4" t="str">
        <x:v>~1921</x:v>
      </x:c>
      <x:c r="C4" t="n">
        <x:v>2.5</x:v>
      </x:c>
      <x:c r="D4" t="n">
        <x:v>540</x:v>
      </x:c>
      <x:c r="E4" s="36" t="n">
        <x:v>0.77</x:v>
      </x:c>
      <x:c r="F4" s="34" t="n">
        <x:v>0.08</x:v>
      </x:c>
      <x:c r="G4" t="n">
        <x:v>32</x:v>
      </x:c>
      <x:c r="H4" t="n">
        <x:v>1.8</x:v>
      </x:c>
      <x:c r="I4" t="n">
        <x:v>2.2</x:v>
      </x:c>
      <x:c r="J4" t="n">
        <x:v>2.8</x:v>
      </x:c>
      <x:c r="K4" t="n">
        <x:v>3.5</x:v>
      </x:c>
      <x:c r="L4" s="38" t="n">
        <x:v>0.75</x:v>
      </x:c>
      <x:c r="M4" s="38" t="n">
        <x:v>0.75</x:v>
      </x:c>
      <x:c r="N4" s="18" t="str">
        <x:v>DERIVED-WORKING</x:v>
      </x:c>
      <x:c r="O4" s="18" t="str">
        <x:v>正味shaft成立が主課題。発電/負荷rigが中心。</x:v>
      </x:c>
      <x:c r="Q4" t="str">
        <x:f>A4</x:f>
        <x:v>E1</x:v>
      </x:c>
      <x:c r="R4" t="n">
        <x:f>I4</x:f>
        <x:v>2.2</x:v>
      </x:c>
      <x:c r="S4" t="n">
        <x:f>J4</x:f>
        <x:v>2.8</x:v>
      </x:c>
      <x:c r="T4" t="n">
        <x:f>K4</x:f>
        <x:v>3.5</x:v>
      </x:c>
    </x:row>
    <x:row r="5">
      <x:c r="A5" t="str">
        <x:v>E2</x:v>
      </x:c>
      <x:c r="B5" t="str">
        <x:v>~1925</x:v>
      </x:c>
      <x:c r="C5" t="n">
        <x:v>3</x:v>
      </x:c>
      <x:c r="D5" t="n">
        <x:v>620</x:v>
      </x:c>
      <x:c r="E5" s="36" t="n">
        <x:v>0.79</x:v>
      </x:c>
      <x:c r="F5" s="34" t="n">
        <x:v>0.12</x:v>
      </x:c>
      <x:c r="G5" t="n">
        <x:v>56</x:v>
      </x:c>
      <x:c r="H5" t="n">
        <x:v>3</x:v>
      </x:c>
      <x:c r="I5" t="n">
        <x:v>3.8</x:v>
      </x:c>
      <x:c r="J5" t="n">
        <x:v>4.8</x:v>
      </x:c>
      <x:c r="K5" t="n">
        <x:v>6</x:v>
      </x:c>
      <x:c r="L5" s="38" t="n">
        <x:v>0.78</x:v>
      </x:c>
      <x:c r="M5" s="38" t="n">
        <x:v>0.78</x:v>
      </x:c>
      <x:c r="N5" s="18" t="str">
        <x:v>DERIVED-WORKING</x:v>
      </x:c>
      <x:c r="O5" s="18" t="str">
        <x:v>過給機・高速rotor経験を吸収。限定shaft set。</x:v>
      </x:c>
      <x:c r="Q5" t="str">
        <x:f>A5</x:f>
        <x:v>E2</x:v>
      </x:c>
      <x:c r="R5" t="n">
        <x:f>I5</x:f>
        <x:v>3.8</x:v>
      </x:c>
      <x:c r="S5" t="n">
        <x:f>J5</x:f>
        <x:v>4.8</x:v>
      </x:c>
      <x:c r="T5" t="n">
        <x:f>K5</x:f>
        <x:v>6</x:v>
      </x:c>
    </x:row>
    <x:row r="6">
      <x:c r="A6" t="str">
        <x:v>E3</x:v>
      </x:c>
      <x:c r="B6" t="str">
        <x:v>1928–29</x:v>
      </x:c>
      <x:c r="C6" t="n">
        <x:v>3.5</x:v>
      </x:c>
      <x:c r="D6" t="n">
        <x:v>690</x:v>
      </x:c>
      <x:c r="E6" s="36" t="n">
        <x:v>0.8</x:v>
      </x:c>
      <x:c r="F6" s="34" t="n">
        <x:v>0.15</x:v>
      </x:c>
      <x:c r="G6" t="n">
        <x:v>77</x:v>
      </x:c>
      <x:c r="H6" t="n">
        <x:v>5</x:v>
      </x:c>
      <x:c r="I6" t="n">
        <x:v>6</x:v>
      </x:c>
      <x:c r="J6" t="n">
        <x:v>6.8</x:v>
      </x:c>
      <x:c r="K6" t="n">
        <x:v>8</x:v>
      </x:c>
      <x:c r="L6" s="38" t="n">
        <x:v>0.8</x:v>
      </x:c>
      <x:c r="M6" s="38" t="n">
        <x:v>0.82</x:v>
      </x:c>
      <x:c r="N6" s="18" t="str">
        <x:v>MIXED</x:v>
      </x:c>
      <x:c r="O6" s="18" t="str">
        <x:v>PR/TIT/spec workはFIXED。規模包絡はworking。</x:v>
      </x:c>
      <x:c r="Q6" t="str">
        <x:f>A6</x:f>
        <x:v>E3</x:v>
      </x:c>
      <x:c r="R6" t="n">
        <x:f>I6</x:f>
        <x:v>6</x:v>
      </x:c>
      <x:c r="S6" t="n">
        <x:f>J6</x:f>
        <x:v>6.8</x:v>
      </x:c>
      <x:c r="T6" t="n">
        <x:f>K6</x:f>
        <x:v>8</x:v>
      </x:c>
    </x:row>
    <x:row r="7">
      <x:c r="A7" t="str">
        <x:v>E4</x:v>
      </x:c>
      <x:c r="B7" t="str">
        <x:v>1931–33</x:v>
      </x:c>
      <x:c r="C7" t="n">
        <x:v>4.5</x:v>
      </x:c>
      <x:c r="D7" t="n">
        <x:v>710</x:v>
      </x:c>
      <x:c r="E7" s="36" t="n">
        <x:v>0.82</x:v>
      </x:c>
      <x:c r="F7" s="34" t="n">
        <x:v>0.18</x:v>
      </x:c>
      <x:c r="G7" t="n">
        <x:v>93</x:v>
      </x:c>
      <x:c r="H7" t="n">
        <x:v>6.7</x:v>
      </x:c>
      <x:c r="I7" t="n">
        <x:v>6.7</x:v>
      </x:c>
      <x:c r="J7" t="n">
        <x:v>9</x:v>
      </x:c>
      <x:c r="K7" t="n">
        <x:v>11</x:v>
      </x:c>
      <x:c r="L7" s="38" t="n">
        <x:v>0.814</x:v>
      </x:c>
      <x:c r="M7" s="38" t="n">
        <x:v>0.834</x:v>
      </x:c>
      <x:c r="N7" s="18" t="str">
        <x:v>MIXED</x:v>
      </x:c>
      <x:c r="O7" s="18" t="str">
        <x:v>6.7 kg/s/507 kWとsimple SFC 0.557はauthority。R2/R1はworking。</x:v>
      </x:c>
      <x:c r="Q7" t="str">
        <x:f>A7</x:f>
        <x:v>E4</x:v>
      </x:c>
      <x:c r="R7" t="n">
        <x:f>I7</x:f>
        <x:v>6.7</x:v>
      </x:c>
      <x:c r="S7" t="n">
        <x:f>J7</x:f>
        <x:v>9</x:v>
      </x:c>
      <x:c r="T7" t="n">
        <x:f>K7</x:f>
        <x:v>11</x:v>
      </x:c>
    </x:row>
    <x:row r="8">
      <x:c r="A8" t="str">
        <x:v>E5</x:v>
      </x:c>
      <x:c r="B8" t="str">
        <x:v>1934–37</x:v>
      </x:c>
      <x:c r="C8" t="n">
        <x:v>6</x:v>
      </x:c>
      <x:c r="D8" t="n">
        <x:v>800</x:v>
      </x:c>
      <x:c r="E8" s="36" t="n">
        <x:v>0.83</x:v>
      </x:c>
      <x:c r="F8" s="34" t="n">
        <x:v>0.225</x:v>
      </x:c>
      <x:c r="G8" t="n">
        <x:v>126</x:v>
      </x:c>
      <x:c r="H8" t="n">
        <x:v>7.6</x:v>
      </x:c>
      <x:c r="I8" t="n">
        <x:v>8.4</x:v>
      </x:c>
      <x:c r="J8" t="n">
        <x:v>11.5</x:v>
      </x:c>
      <x:c r="K8" t="n">
        <x:v>15</x:v>
      </x:c>
      <x:c r="L8" s="38" t="n">
        <x:v>0.79</x:v>
      </x:c>
      <x:c r="M8" s="38" t="n">
        <x:v>0.84</x:v>
      </x:c>
      <x:c r="N8" s="18" t="str">
        <x:v>MIXED</x:v>
      </x:c>
      <x:c r="O8" s="18" t="str">
        <x:v>7.6 kg/s standard、8.4 pure high-flow。M-scale先行研究はworking。</x:v>
      </x:c>
      <x:c r="Q8" t="str">
        <x:f>A8</x:f>
        <x:v>E5</x:v>
      </x:c>
      <x:c r="R8" t="n">
        <x:f>I8</x:f>
        <x:v>8.4</x:v>
      </x:c>
      <x:c r="S8" t="n">
        <x:f>J8</x:f>
        <x:v>11.5</x:v>
      </x:c>
      <x:c r="T8" t="n">
        <x:f>K8</x:f>
        <x:v>15</x:v>
      </x:c>
    </x:row>
    <x:row r="9">
      <x:c r="A9" t="str">
        <x:v>E6</x:v>
      </x:c>
      <x:c r="B9" t="str">
        <x:v>1938–41</x:v>
      </x:c>
      <x:c r="C9" t="n">
        <x:v>7</x:v>
      </x:c>
      <x:c r="D9" t="n">
        <x:v>870</x:v>
      </x:c>
      <x:c r="E9" s="36" t="n">
        <x:v>0.84</x:v>
      </x:c>
      <x:c r="F9" s="34" t="n">
        <x:v>0.26</x:v>
      </x:c>
      <x:c r="G9" t="n">
        <x:v>155</x:v>
      </x:c>
      <x:c r="H9" t="n">
        <x:v>13.2</x:v>
      </x:c>
      <x:c r="I9" t="n">
        <x:v>14</x:v>
      </x:c>
      <x:c r="J9" t="n">
        <x:v>21</x:v>
      </x:c>
      <x:c r="K9" t="n">
        <x:v>28</x:v>
      </x:c>
      <x:c r="L9" s="38" t="n">
        <x:v>0.81</x:v>
      </x:c>
      <x:c r="M9" s="38" t="n">
        <x:v>0.86</x:v>
      </x:c>
      <x:c r="N9" s="18" t="str">
        <x:v>MIXED</x:v>
      </x:c>
      <x:c r="O9" s="18" t="str">
        <x:v>S=7.8、M=13.2 product。20–21 kg/s級R2は大型研究包絡。</x:v>
      </x:c>
      <x:c r="Q9" t="str">
        <x:f>A9</x:f>
        <x:v>E6</x:v>
      </x:c>
      <x:c r="R9" t="n">
        <x:f>I9</x:f>
        <x:v>14</x:v>
      </x:c>
      <x:c r="S9" t="n">
        <x:f>J9</x:f>
        <x:v>21</x:v>
      </x:c>
      <x:c r="T9" t="n">
        <x:f>K9</x:f>
        <x:v>28</x:v>
      </x:c>
    </x:row>
  </x:sheetData>
  <x:mergeCells>
    <x:mergeCell ref="A1:O1"/>
  </x:mergeCells>
  <x:pageMargins left="0.7" right="0.7" top="0.75" bottom="0.75" header="0.3" footer="0.3"/>
  <x:drawing xmlns:r="http://schemas.openxmlformats.org/officeDocument/2006/relationships" r:id="Ra2e2d6c5972a435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52" hidden="0" customWidth="1"/>
    <x:col min="5" max="5" width="18" hidden="0" customWidth="1"/>
    <x:col min="6" max="6" width="18" hidden="0" customWidth="1"/>
    <x:col min="7" max="7" width="62" hidden="0" customWidth="1"/>
    <x:col min="8" max="8" width="20" hidden="0" customWidth="1"/>
  </x:cols>
  <x:sheetData>
    <x:row r="1">
      <x:c r="A1" s="5" t="str">
        <x:v>Generic Rating Model (working; product authority may override)</x:v>
      </x:c>
      <x:c r="B1" s="5"/>
      <x:c r="C1" s="5"/>
      <x:c r="D1" s="5"/>
      <x:c r="E1" s="5"/>
      <x:c r="F1" s="5"/>
      <x:c r="G1" s="5"/>
      <x:c r="H1" s="5"/>
    </x:row>
    <x:row r="3">
      <x:c r="A3" s="28" t="str">
        <x:v>Rating</x:v>
      </x:c>
      <x:c r="B3" s="28" t="str">
        <x:v>Use</x:v>
      </x:c>
      <x:c r="C3" s="28" t="str">
        <x:v>Power factor vs capability</x:v>
      </x:c>
      <x:c r="D3" s="28" t="str">
        <x:v>TIT margin °C</x:v>
      </x:c>
      <x:c r="E3" s="28" t="str">
        <x:v>Efficiency factor</x:v>
      </x:c>
      <x:c r="F3" s="28" t="str">
        <x:v>Thermal severity index</x:v>
      </x:c>
      <x:c r="G3" s="28" t="str">
        <x:v>Meaning</x:v>
      </x:c>
      <x:c r="H3" s="28" t="str">
        <x:v>Status</x:v>
      </x:c>
    </x:row>
    <x:row r="4">
      <x:c r="A4" t="str">
        <x:v>H</x:v>
      </x:c>
      <x:c r="B4" t="str">
        <x:v>short/high</x:v>
      </x:c>
      <x:c r="C4" s="40" t="n">
        <x:v>1</x:v>
      </x:c>
      <x:c r="D4" t="n">
        <x:v>0</x:v>
      </x:c>
      <x:c r="E4" s="40" t="n">
        <x:v>0.98</x:v>
      </x:c>
      <x:c r="F4" s="40" t="n">
        <x:v>1</x:v>
      </x:c>
      <x:c r="G4" s="18" t="str">
        <x:v>離陸・combat・艇boost・非常用。寿命消費を許容。</x:v>
      </x:c>
      <x:c r="H4" t="str">
        <x:v>DERIVED-WORKING</x:v>
      </x:c>
    </x:row>
    <x:row r="5">
      <x:c r="A5" t="str">
        <x:v>N</x:v>
      </x:c>
      <x:c r="B5" t="str">
        <x:v>normal</x:v>
      </x:c>
      <x:c r="C5" s="40" t="n">
        <x:v>0.93</x:v>
      </x:c>
      <x:c r="D5" t="n">
        <x:v>-25</x:v>
      </x:c>
      <x:c r="E5" s="40" t="n">
        <x:v>1</x:v>
      </x:c>
      <x:c r="F5" s="40" t="n">
        <x:v>0.82</x:v>
      </x:c>
      <x:c r="G5" s="18" t="str">
        <x:v>通常航空/一般shaft。headline ratingより余裕を持つ。</x:v>
      </x:c>
      <x:c r="H5" t="str">
        <x:v>DERIVED-WORKING</x:v>
      </x:c>
    </x:row>
    <x:row r="6">
      <x:c r="A6" t="str">
        <x:v>C</x:v>
      </x:c>
      <x:c r="B6" t="str">
        <x:v>continuous</x:v>
      </x:c>
      <x:c r="C6" s="40" t="n">
        <x:v>0.87</x:v>
      </x:c>
      <x:c r="D6" t="n">
        <x:v>-50</x:v>
      </x:c>
      <x:c r="E6" s="40" t="n">
        <x:v>0.99</x:v>
      </x:c>
      <x:c r="F6" s="40" t="n">
        <x:v>0.62</x:v>
      </x:c>
      <x:c r="G6" s="18" t="str">
        <x:v>船舶continuous・輸送・長時間運転。</x:v>
      </x:c>
      <x:c r="H6" t="str">
        <x:v>DERIVED-WORKING</x:v>
      </x:c>
    </x:row>
    <x:row r="7">
      <x:c r="A7" t="str">
        <x:v>L</x:v>
      </x:c>
      <x:c r="B7" t="str">
        <x:v>long-life</x:v>
      </x:c>
      <x:c r="C7" s="40" t="n">
        <x:v>0.8</x:v>
      </x:c>
      <x:c r="D7" t="n">
        <x:v>-85</x:v>
      </x:c>
      <x:c r="E7" s="40" t="n">
        <x:v>0.96</x:v>
      </x:c>
      <x:c r="F7" s="40" t="n">
        <x:v>0.42</x:v>
      </x:c>
      <x:c r="G7" s="18" t="str">
        <x:v>発電/base-load・長距離巡航。温度/軸速/段負荷を抑える。</x:v>
      </x:c>
      <x:c r="H7" t="str">
        <x:v>DERIVED-WORKING</x:v>
      </x:c>
    </x:row>
    <x:row r="10">
      <x:c r="A10" s="13" t="str">
        <x:v>Application transfer assumptions (working)</x:v>
      </x:c>
      <x:c r="B10" s="13"/>
      <x:c r="C10" s="13"/>
      <x:c r="D10" s="13"/>
    </x:row>
    <x:row r="11">
      <x:c r="A11" s="28" t="str">
        <x:v>Parameter</x:v>
      </x:c>
      <x:c r="B11" s="28" t="str">
        <x:v>Value</x:v>
      </x:c>
      <x:c r="C11" s="28" t="str">
        <x:v>Unit</x:v>
      </x:c>
      <x:c r="D11" s="28" t="str">
        <x:v>Use</x:v>
      </x:c>
    </x:row>
    <x:row r="12">
      <x:c r="A12" t="str">
        <x:v>Generator efficiency</x:v>
      </x:c>
      <x:c r="B12" s="36" t="n">
        <x:v>0.95</x:v>
      </x:c>
      <x:c r="C12" t="str">
        <x:v>fraction</x:v>
      </x:c>
      <x:c r="D12" s="18" t="str">
        <x:v>shaft→electric</x:v>
      </x:c>
    </x:row>
    <x:row r="13">
      <x:c r="A13" t="str">
        <x:v>Marine gearbox efficiency</x:v>
      </x:c>
      <x:c r="B13" s="36" t="n">
        <x:v>0.96</x:v>
      </x:c>
      <x:c r="C13" t="str">
        <x:v>fraction</x:v>
      </x:c>
      <x:c r="D13" s="18" t="str">
        <x:v>free turbine/shaft→prop shaft</x:v>
      </x:c>
    </x:row>
    <x:row r="14">
      <x:c r="A14" t="str">
        <x:v>Early TP transfer efficiency</x:v>
      </x:c>
      <x:c r="B14" s="36" t="n">
        <x:v>0.9</x:v>
      </x:c>
      <x:c r="C14" t="str">
        <x:v>fraction</x:v>
      </x:c>
      <x:c r="D14" s="18" t="str">
        <x:v>E3 reduction/prop absorption working</x:v>
      </x:c>
    </x:row>
    <x:row r="15">
      <x:c r="A15" t="str">
        <x:v>Mature TP transfer efficiency</x:v>
      </x:c>
      <x:c r="B15" s="36" t="n">
        <x:v>0.95</x:v>
      </x:c>
      <x:c r="C15" t="str">
        <x:v>fraction</x:v>
      </x:c>
      <x:c r="D15" s="18" t="str">
        <x:v>E4+ reduction/prop absorption working</x:v>
      </x:c>
    </x:row>
    <x:row r="16">
      <x:c r="A16" t="str">
        <x:v>E4 aft-fan thrust factor</x:v>
      </x:c>
      <x:c r="B16" s="36" t="n">
        <x:v>1.16</x:v>
      </x:c>
      <x:c r="C16" t="str">
        <x:v>× pure</x:v>
      </x:c>
      <x:c r="D16" s="18" t="str">
        <x:v>working rig/package</x:v>
      </x:c>
    </x:row>
    <x:row r="17">
      <x:c r="A17" t="str">
        <x:v>E5 aft-fan thrust factor</x:v>
      </x:c>
      <x:c r="B17" s="36" t="n">
        <x:v>1.2</x:v>
      </x:c>
      <x:c r="C17" t="str">
        <x:v>× pure</x:v>
      </x:c>
      <x:c r="D17" s="18" t="str">
        <x:v>working flight-audit hypothesis</x:v>
      </x:c>
    </x:row>
    <x:row r="18">
      <x:c r="A18" t="str">
        <x:v>Vehicle usable package factor</x:v>
      </x:c>
      <x:c r="B18" s="36" t="n">
        <x:v>0.78</x:v>
      </x:c>
      <x:c r="C18" t="str">
        <x:v>× shaft</x:v>
      </x:c>
      <x:c r="D18" s="18" t="str">
        <x:v>filter/transmission/thermal derate working</x:v>
      </x:c>
    </x:row>
  </x:sheetData>
  <x:mergeCells>
    <x:mergeCell ref="A1:H1"/>
    <x:mergeCell ref="A10:D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16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42" hidden="0" customWidth="1"/>
  </x:cols>
  <x:sheetData>
    <x:row r="1">
      <x:c r="A1" s="5" t="str">
        <x:v>Shaft / Scale Capability Envelope (formula-driven working model)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>
      <x:c r="A3" s="28" t="str">
        <x:v>Gen</x:v>
      </x:c>
      <x:c r="B3" s="28" t="str">
        <x:v>Scale node</x:v>
      </x:c>
      <x:c r="C3" s="28" t="str">
        <x:v>Maturity</x:v>
      </x:c>
      <x:c r="D3" s="28" t="str">
        <x:v>Flow kg/s</x:v>
      </x:c>
      <x:c r="E3" s="28" t="str">
        <x:v>Spec work kJ/kg</x:v>
      </x:c>
      <x:c r="F3" s="28" t="str">
        <x:v>Installed work factor</x:v>
      </x:c>
      <x:c r="G3" s="28" t="str">
        <x:v>Gross kW</x:v>
      </x:c>
      <x:c r="H3" s="28" t="str">
        <x:v>Installed capability kW</x:v>
      </x:c>
      <x:c r="I3" s="28" t="str">
        <x:v>Installed capability hp</x:v>
      </x:c>
      <x:c r="J3" s="28" t="str">
        <x:v>H kW</x:v>
      </x:c>
      <x:c r="K3" s="28" t="str">
        <x:v>N kW</x:v>
      </x:c>
      <x:c r="L3" s="28" t="str">
        <x:v>C kW</x:v>
      </x:c>
      <x:c r="M3" s="28" t="str">
        <x:v>L kW</x:v>
      </x:c>
      <x:c r="N3" s="28" t="str">
        <x:v>H SFC kg/kWh</x:v>
      </x:c>
      <x:c r="O3" s="28" t="str">
        <x:v>N SFC</x:v>
      </x:c>
      <x:c r="P3" s="28" t="str">
        <x:v>C SFC</x:v>
      </x:c>
      <x:c r="Q3" s="28" t="str">
        <x:v>L SFC</x:v>
      </x:c>
      <x:c r="R3" s="28" t="str">
        <x:v>Notes</x:v>
      </x:c>
    </x:row>
    <x:row r="4">
      <x:c r="A4" t="str">
        <x:v>E1</x:v>
      </x:c>
      <x:c r="B4" t="str">
        <x:v>small test</x:v>
      </x:c>
      <x:c r="C4" t="str">
        <x:v>R2</x:v>
      </x:c>
      <x:c r="D4" s="36" t="n">
        <x:v>1.8</x:v>
      </x:c>
      <x:c r="E4" s="36" t="n">
        <x:f>'01_GEN_FRONT'!G4</x:f>
        <x:v>32</x:v>
      </x:c>
      <x:c r="F4" s="36" t="n">
        <x:f>'01_GEN_FRONT'!L4</x:f>
        <x:v>0.75</x:v>
      </x:c>
      <x:c r="G4" s="36" t="n">
        <x:f>D4*E4</x:f>
        <x:v>57.6</x:v>
      </x:c>
      <x:c r="H4" s="36" t="n">
        <x:f>G4*F4</x:f>
        <x:v>43.2</x:v>
      </x:c>
      <x:c r="I4" s="42" t="n">
        <x:f>H4/0.7457</x:f>
        <x:v>57.93214429395199</x:v>
      </x:c>
      <x:c r="J4" s="42" t="n">
        <x:f>H4*'02_RATING_MODEL'!C4</x:f>
        <x:v>43.2</x:v>
      </x:c>
      <x:c r="K4" s="42" t="n">
        <x:f>H4*'02_RATING_MODEL'!C5</x:f>
        <x:v>40.176</x:v>
      </x:c>
      <x:c r="L4" s="42" t="n">
        <x:f>H4*'02_RATING_MODEL'!C6</x:f>
        <x:v>37.584</x:v>
      </x:c>
      <x:c r="M4" s="42" t="n">
        <x:f>H4*'02_RATING_MODEL'!C7</x:f>
        <x:v>34.56</x:v>
      </x:c>
      <x:c r="N4" s="38" t="n">
        <x:f>3.6/(43*'01_GEN_FRONT'!F4*'01_GEN_FRONT'!M4*'02_RATING_MODEL'!E4)</x:f>
        <x:v>1.4238253440911248</x:v>
      </x:c>
      <x:c r="O4" s="38" t="n">
        <x:f>3.6/(43*'01_GEN_FRONT'!F4*'01_GEN_FRONT'!M4*'02_RATING_MODEL'!E5)</x:f>
        <x:v>1.3953488372093024</x:v>
      </x:c>
      <x:c r="P4" s="38" t="n">
        <x:f>3.6/(43*'01_GEN_FRONT'!F4*'01_GEN_FRONT'!M4*'02_RATING_MODEL'!E6)</x:f>
        <x:v>1.409443269908386</x:v>
      </x:c>
      <x:c r="Q4" s="38" t="n">
        <x:f>3.6/(43*'01_GEN_FRONT'!F4*'01_GEN_FRONT'!M4*'02_RATING_MODEL'!E7)</x:f>
        <x:v>1.4534883720930234</x:v>
      </x:c>
      <x:c r="R4" s="18" t="str">
        <x:v>first net-shaft integrated test</x:v>
      </x:c>
    </x:row>
    <x:row r="5">
      <x:c r="A5" t="str">
        <x:v>E2</x:v>
      </x:c>
      <x:c r="B5" t="str">
        <x:v>small limited</x:v>
      </x:c>
      <x:c r="C5" t="str">
        <x:v>R2/P-limited</x:v>
      </x:c>
      <x:c r="D5" s="36" t="n">
        <x:v>3</x:v>
      </x:c>
      <x:c r="E5" s="36" t="n">
        <x:f>'01_GEN_FRONT'!G5</x:f>
        <x:v>56</x:v>
      </x:c>
      <x:c r="F5" s="36" t="n">
        <x:f>'01_GEN_FRONT'!L5</x:f>
        <x:v>0.78</x:v>
      </x:c>
      <x:c r="G5" s="36" t="n">
        <x:f>D5*E5</x:f>
        <x:v>168</x:v>
      </x:c>
      <x:c r="H5" s="36" t="n">
        <x:f>G5*F5</x:f>
        <x:v>131.04</x:v>
      </x:c>
      <x:c r="I5" s="42" t="n">
        <x:f>H5/0.7457</x:f>
        <x:v>175.72750435832103</x:v>
      </x:c>
      <x:c r="J5" s="42" t="n">
        <x:f>H5*'02_RATING_MODEL'!C4</x:f>
        <x:v>131.04</x:v>
      </x:c>
      <x:c r="K5" s="42" t="n">
        <x:f>H5*'02_RATING_MODEL'!C5</x:f>
        <x:v>121.8672</x:v>
      </x:c>
      <x:c r="L5" s="42" t="n">
        <x:f>H5*'02_RATING_MODEL'!C6</x:f>
        <x:v>114.00479999999999</x:v>
      </x:c>
      <x:c r="M5" s="42" t="n">
        <x:f>H5*'02_RATING_MODEL'!C7</x:f>
        <x:v>104.832</x:v>
      </x:c>
      <x:c r="N5" s="38" t="n">
        <x:f>3.6/(43*'01_GEN_FRONT'!F5*'01_GEN_FRONT'!M5*'02_RATING_MODEL'!E4)</x:f>
        <x:v>0.9127085539045673</x:v>
      </x:c>
      <x:c r="O5" s="38" t="n">
        <x:f>3.6/(43*'01_GEN_FRONT'!F5*'01_GEN_FRONT'!M5*'02_RATING_MODEL'!E5)</x:f>
        <x:v>0.8944543828264759</x:v>
      </x:c>
      <x:c r="P5" s="38" t="n">
        <x:f>3.6/(43*'01_GEN_FRONT'!F5*'01_GEN_FRONT'!M5*'02_RATING_MODEL'!E6)</x:f>
        <x:v>0.9034892755822989</x:v>
      </x:c>
      <x:c r="Q5" s="38" t="n">
        <x:f>3.6/(43*'01_GEN_FRONT'!F5*'01_GEN_FRONT'!M5*'02_RATING_MODEL'!E7)</x:f>
        <x:v>0.9317233154442458</x:v>
      </x:c>
      <x:c r="R5" s="18" t="str">
        <x:v>limited shaft/generator set</x:v>
      </x:c>
    </x:row>
    <x:row r="6">
      <x:c r="A6" t="str">
        <x:v>E3</x:v>
      </x:c>
      <x:c r="B6" t="str">
        <x:v>small experimental</x:v>
      </x:c>
      <x:c r="C6" t="str">
        <x:v>R2</x:v>
      </x:c>
      <x:c r="D6" s="36" t="n">
        <x:v>5</x:v>
      </x:c>
      <x:c r="E6" s="36" t="n">
        <x:f>'01_GEN_FRONT'!G6</x:f>
        <x:v>77</x:v>
      </x:c>
      <x:c r="F6" s="36" t="n">
        <x:f>'01_GEN_FRONT'!L6</x:f>
        <x:v>0.8</x:v>
      </x:c>
      <x:c r="G6" s="36" t="n">
        <x:f>D6*E6</x:f>
        <x:v>385</x:v>
      </x:c>
      <x:c r="H6" s="36" t="n">
        <x:f>G6*F6</x:f>
        <x:v>308</x:v>
      </x:c>
      <x:c r="I6" s="42" t="n">
        <x:f>H6/0.7457</x:f>
        <x:v>413.0347324661392</x:v>
      </x:c>
      <x:c r="J6" s="42" t="n">
        <x:f>H6*'02_RATING_MODEL'!C4</x:f>
        <x:v>308</x:v>
      </x:c>
      <x:c r="K6" s="42" t="n">
        <x:f>H6*'02_RATING_MODEL'!C5</x:f>
        <x:v>286.44</x:v>
      </x:c>
      <x:c r="L6" s="42" t="n">
        <x:f>H6*'02_RATING_MODEL'!C6</x:f>
        <x:v>267.96</x:v>
      </x:c>
      <x:c r="M6" s="42" t="n">
        <x:f>H6*'02_RATING_MODEL'!C7</x:f>
        <x:v>246.4</x:v>
      </x:c>
      <x:c r="N6" s="38" t="n">
        <x:f>3.6/(43*'01_GEN_FRONT'!F6*'01_GEN_FRONT'!M6*'02_RATING_MODEL'!E4)</x:f>
        <x:v>0.6945489483371341</x:v>
      </x:c>
      <x:c r="O6" s="38" t="n">
        <x:f>3.6/(43*'01_GEN_FRONT'!F6*'01_GEN_FRONT'!M6*'02_RATING_MODEL'!E5)</x:f>
        <x:v>0.6806579693703915</x:v>
      </x:c>
      <x:c r="P6" s="38" t="n">
        <x:f>3.6/(43*'01_GEN_FRONT'!F6*'01_GEN_FRONT'!M6*'02_RATING_MODEL'!E6)</x:f>
        <x:v>0.6875333023943347</x:v>
      </x:c>
      <x:c r="Q6" s="38" t="n">
        <x:f>3.6/(43*'01_GEN_FRONT'!F6*'01_GEN_FRONT'!M6*'02_RATING_MODEL'!E7)</x:f>
        <x:v>0.7090187180941578</x:v>
      </x:c>
      <x:c r="R6" s="18" t="str">
        <x:v>300–500 hp class region</x:v>
      </x:c>
    </x:row>
    <x:row r="7">
      <x:c r="A7" t="str">
        <x:v>E3</x:v>
      </x:c>
      <x:c r="B7" t="str">
        <x:v>upper small</x:v>
      </x:c>
      <x:c r="C7" t="str">
        <x:v>R1/R2</x:v>
      </x:c>
      <x:c r="D7" s="36" t="n">
        <x:v>6</x:v>
      </x:c>
      <x:c r="E7" s="36" t="n">
        <x:f>'01_GEN_FRONT'!G6</x:f>
        <x:v>77</x:v>
      </x:c>
      <x:c r="F7" s="36" t="n">
        <x:f>'01_GEN_FRONT'!L6</x:f>
        <x:v>0.8</x:v>
      </x:c>
      <x:c r="G7" s="36" t="n">
        <x:f>D7*E7</x:f>
        <x:v>462</x:v>
      </x:c>
      <x:c r="H7" s="36" t="n">
        <x:f>G7*F7</x:f>
        <x:v>369.6</x:v>
      </x:c>
      <x:c r="I7" s="42" t="n">
        <x:f>H7/0.7457</x:f>
        <x:v>495.641678959367</x:v>
      </x:c>
      <x:c r="J7" s="42" t="n">
        <x:f>H7*'02_RATING_MODEL'!C4</x:f>
        <x:v>369.6</x:v>
      </x:c>
      <x:c r="K7" s="42" t="n">
        <x:f>H7*'02_RATING_MODEL'!C5</x:f>
        <x:v>343.72800000000007</x:v>
      </x:c>
      <x:c r="L7" s="42" t="n">
        <x:f>H7*'02_RATING_MODEL'!C6</x:f>
        <x:v>321.552</x:v>
      </x:c>
      <x:c r="M7" s="42" t="n">
        <x:f>H7*'02_RATING_MODEL'!C7</x:f>
        <x:v>295.68</x:v>
      </x:c>
      <x:c r="N7" s="38" t="n">
        <x:f>3.6/(43*'01_GEN_FRONT'!F6*'01_GEN_FRONT'!M6*'02_RATING_MODEL'!E4)</x:f>
        <x:v>0.6945489483371341</x:v>
      </x:c>
      <x:c r="O7" s="38" t="n">
        <x:f>3.6/(43*'01_GEN_FRONT'!F6*'01_GEN_FRONT'!M6*'02_RATING_MODEL'!E5)</x:f>
        <x:v>0.6806579693703915</x:v>
      </x:c>
      <x:c r="P7" s="38" t="n">
        <x:f>3.6/(43*'01_GEN_FRONT'!F6*'01_GEN_FRONT'!M6*'02_RATING_MODEL'!E6)</x:f>
        <x:v>0.6875333023943347</x:v>
      </x:c>
      <x:c r="Q7" s="38" t="n">
        <x:f>3.6/(43*'01_GEN_FRONT'!F6*'01_GEN_FRONT'!M6*'02_RATING_MODEL'!E7)</x:f>
        <x:v>0.7090187180941578</x:v>
      </x:c>
      <x:c r="R7" s="18" t="str">
        <x:v>upper experimental branch</x:v>
      </x:c>
    </x:row>
    <x:row r="8">
      <x:c r="A8" t="str">
        <x:v>E4</x:v>
      </x:c>
      <x:c r="B8" t="str">
        <x:v>S standard</x:v>
      </x:c>
      <x:c r="C8" t="str">
        <x:v>P</x:v>
      </x:c>
      <x:c r="D8" s="36" t="n">
        <x:v>6.7</x:v>
      </x:c>
      <x:c r="E8" s="36" t="n">
        <x:f>'01_GEN_FRONT'!G7</x:f>
        <x:v>93</x:v>
      </x:c>
      <x:c r="F8" s="36" t="n">
        <x:f>'01_GEN_FRONT'!L7</x:f>
        <x:v>0.814</x:v>
      </x:c>
      <x:c r="G8" s="36" t="n">
        <x:f>D8*E8</x:f>
        <x:v>623.1</x:v>
      </x:c>
      <x:c r="H8" s="36" t="n">
        <x:f>G8*F8</x:f>
        <x:v>507.2034</x:v>
      </x:c>
      <x:c r="I8" s="42" t="n">
        <x:f>H8/0.7457</x:f>
        <x:v>680.1708461847928</x:v>
      </x:c>
      <x:c r="J8" s="42" t="n">
        <x:f>H8*'02_RATING_MODEL'!C4</x:f>
        <x:v>507.2034</x:v>
      </x:c>
      <x:c r="K8" s="42" t="n">
        <x:f>H8*'02_RATING_MODEL'!C5</x:f>
        <x:v>471.699162</x:v>
      </x:c>
      <x:c r="L8" s="42" t="n">
        <x:f>H8*'02_RATING_MODEL'!C6</x:f>
        <x:v>441.266958</x:v>
      </x:c>
      <x:c r="M8" s="42" t="n">
        <x:f>H8*'02_RATING_MODEL'!C7</x:f>
        <x:v>405.76272</x:v>
      </x:c>
      <x:c r="N8" s="38" t="n">
        <x:f>3.6/(43*'01_GEN_FRONT'!F7*'01_GEN_FRONT'!M7*'02_RATING_MODEL'!E4)</x:f>
        <x:v>0.5690748777342626</x:v>
      </x:c>
      <x:c r="O8" s="38" t="n">
        <x:f>3.6/(43*'01_GEN_FRONT'!F7*'01_GEN_FRONT'!M7*'02_RATING_MODEL'!E5)</x:f>
        <x:v>0.5576933801795774</x:v>
      </x:c>
      <x:c r="P8" s="38" t="n">
        <x:f>3.6/(43*'01_GEN_FRONT'!F7*'01_GEN_FRONT'!M7*'02_RATING_MODEL'!E6)</x:f>
        <x:v>0.5633266466460377</x:v>
      </x:c>
      <x:c r="Q8" s="38" t="n">
        <x:f>3.6/(43*'01_GEN_FRONT'!F7*'01_GEN_FRONT'!M7*'02_RATING_MODEL'!E7)</x:f>
        <x:v>0.5809306043537265</x:v>
      </x:c>
      <x:c r="R8" s="18" t="str">
        <x:v>authority product scale</x:v>
      </x:c>
    </x:row>
    <x:row r="9">
      <x:c r="A9" t="str">
        <x:v>E4</x:v>
      </x:c>
      <x:c r="B9" t="str">
        <x:v>S+ research</x:v>
      </x:c>
      <x:c r="C9" t="str">
        <x:v>R2</x:v>
      </x:c>
      <x:c r="D9" s="36" t="n">
        <x:v>9</x:v>
      </x:c>
      <x:c r="E9" s="36" t="n">
        <x:f>'01_GEN_FRONT'!G7</x:f>
        <x:v>93</x:v>
      </x:c>
      <x:c r="F9" s="36" t="n">
        <x:f>'01_GEN_FRONT'!L7</x:f>
        <x:v>0.814</x:v>
      </x:c>
      <x:c r="G9" s="36" t="n">
        <x:f>D9*E9</x:f>
        <x:v>837</x:v>
      </x:c>
      <x:c r="H9" s="36" t="n">
        <x:f>G9*F9</x:f>
        <x:v>681.318</x:v>
      </x:c>
      <x:c r="I9" s="42" t="n">
        <x:f>H9/0.7457</x:f>
        <x:v>913.6623306959902</x:v>
      </x:c>
      <x:c r="J9" s="42" t="n">
        <x:f>H9*'02_RATING_MODEL'!C4</x:f>
        <x:v>681.318</x:v>
      </x:c>
      <x:c r="K9" s="42" t="n">
        <x:f>H9*'02_RATING_MODEL'!C5</x:f>
        <x:v>633.6257400000001</x:v>
      </x:c>
      <x:c r="L9" s="42" t="n">
        <x:f>H9*'02_RATING_MODEL'!C6</x:f>
        <x:v>592.74666</x:v>
      </x:c>
      <x:c r="M9" s="42" t="n">
        <x:f>H9*'02_RATING_MODEL'!C7</x:f>
        <x:v>545.0544</x:v>
      </x:c>
      <x:c r="N9" s="38" t="n">
        <x:f>3.6/(43*'01_GEN_FRONT'!F7*'01_GEN_FRONT'!M7*'02_RATING_MODEL'!E4)</x:f>
        <x:v>0.5690748777342626</x:v>
      </x:c>
      <x:c r="O9" s="38" t="n">
        <x:f>3.6/(43*'01_GEN_FRONT'!F7*'01_GEN_FRONT'!M7*'02_RATING_MODEL'!E5)</x:f>
        <x:v>0.5576933801795774</x:v>
      </x:c>
      <x:c r="P9" s="38" t="n">
        <x:f>3.6/(43*'01_GEN_FRONT'!F7*'01_GEN_FRONT'!M7*'02_RATING_MODEL'!E6)</x:f>
        <x:v>0.5633266466460377</x:v>
      </x:c>
      <x:c r="Q9" s="38" t="n">
        <x:f>3.6/(43*'01_GEN_FRONT'!F7*'01_GEN_FRONT'!M7*'02_RATING_MODEL'!E7)</x:f>
        <x:v>0.5809306043537265</x:v>
      </x:c>
      <x:c r="R9" s="18" t="str">
        <x:v>next-scale full hot experimental</x:v>
      </x:c>
    </x:row>
    <x:row r="10">
      <x:c r="A10" t="str">
        <x:v>E5</x:v>
      </x:c>
      <x:c r="B10" t="str">
        <x:v>S standard</x:v>
      </x:c>
      <x:c r="C10" t="str">
        <x:v>P</x:v>
      </x:c>
      <x:c r="D10" s="36" t="n">
        <x:v>7.6</x:v>
      </x:c>
      <x:c r="E10" s="36" t="n">
        <x:f>'01_GEN_FRONT'!G8</x:f>
        <x:v>126</x:v>
      </x:c>
      <x:c r="F10" s="36" t="n">
        <x:f>'01_GEN_FRONT'!L8</x:f>
        <x:v>0.79</x:v>
      </x:c>
      <x:c r="G10" s="36" t="n">
        <x:f>D10*E10</x:f>
        <x:v>957.5999999999999</x:v>
      </x:c>
      <x:c r="H10" s="36" t="n">
        <x:f>G10*F10</x:f>
        <x:v>756.5039999999999</x:v>
      </x:c>
      <x:c r="I10" s="42" t="n">
        <x:f>H10/0.7457</x:f>
        <x:v>1014.4884001609224</x:v>
      </x:c>
      <x:c r="J10" s="42" t="n">
        <x:f>H10*'02_RATING_MODEL'!C4</x:f>
        <x:v>756.5039999999999</x:v>
      </x:c>
      <x:c r="K10" s="42" t="n">
        <x:f>H10*'02_RATING_MODEL'!C5</x:f>
        <x:v>703.54872</x:v>
      </x:c>
      <x:c r="L10" s="42" t="n">
        <x:f>H10*'02_RATING_MODEL'!C6</x:f>
        <x:v>658.1584799999999</x:v>
      </x:c>
      <x:c r="M10" s="42" t="n">
        <x:f>H10*'02_RATING_MODEL'!C7</x:f>
        <x:v>605.2031999999999</x:v>
      </x:c>
      <x:c r="N10" s="38" t="n">
        <x:f>3.6/(43*'01_GEN_FRONT'!F8*'01_GEN_FRONT'!M8*'02_RATING_MODEL'!E4)</x:f>
        <x:v>0.4520080457432142</x:v>
      </x:c>
      <x:c r="O10" s="38" t="n">
        <x:f>3.6/(43*'01_GEN_FRONT'!F8*'01_GEN_FRONT'!M8*'02_RATING_MODEL'!E5)</x:f>
        <x:v>0.4429678848283499</x:v>
      </x:c>
      <x:c r="P10" s="38" t="n">
        <x:f>3.6/(43*'01_GEN_FRONT'!F8*'01_GEN_FRONT'!M8*'02_RATING_MODEL'!E6)</x:f>
        <x:v>0.4474423079074242</x:v>
      </x:c>
      <x:c r="Q10" s="38" t="n">
        <x:f>3.6/(43*'01_GEN_FRONT'!F8*'01_GEN_FRONT'!M8*'02_RATING_MODEL'!E7)</x:f>
        <x:v>0.4614248800295312</x:v>
      </x:c>
      <x:c r="R10" s="18" t="str">
        <x:v>standard small core</x:v>
      </x:c>
    </x:row>
    <x:row r="11">
      <x:c r="A11" t="str">
        <x:v>E5</x:v>
      </x:c>
      <x:c r="B11" t="str">
        <x:v>S high-flow</x:v>
      </x:c>
      <x:c r="C11" t="str">
        <x:v>P-special</x:v>
      </x:c>
      <x:c r="D11" s="36" t="n">
        <x:v>8.4</x:v>
      </x:c>
      <x:c r="E11" s="36" t="n">
        <x:f>'01_GEN_FRONT'!G8</x:f>
        <x:v>126</x:v>
      </x:c>
      <x:c r="F11" s="36" t="n">
        <x:f>'01_GEN_FRONT'!L8</x:f>
        <x:v>0.79</x:v>
      </x:c>
      <x:c r="G11" s="36" t="n">
        <x:f>D11*E11</x:f>
        <x:v>1058.4</x:v>
      </x:c>
      <x:c r="H11" s="36" t="n">
        <x:f>G11*F11</x:f>
        <x:v>836.1360000000001</x:v>
      </x:c>
      <x:c r="I11" s="42" t="n">
        <x:f>H11/0.7457</x:f>
        <x:v>1121.2766528094407</x:v>
      </x:c>
      <x:c r="J11" s="42" t="n">
        <x:f>H11*'02_RATING_MODEL'!C4</x:f>
        <x:v>836.1360000000001</x:v>
      </x:c>
      <x:c r="K11" s="42" t="n">
        <x:f>H11*'02_RATING_MODEL'!C5</x:f>
        <x:v>777.6064800000001</x:v>
      </x:c>
      <x:c r="L11" s="42" t="n">
        <x:f>H11*'02_RATING_MODEL'!C6</x:f>
        <x:v>727.4383200000001</x:v>
      </x:c>
      <x:c r="M11" s="42" t="n">
        <x:f>H11*'02_RATING_MODEL'!C7</x:f>
        <x:v>668.9088000000002</x:v>
      </x:c>
      <x:c r="N11" s="38" t="n">
        <x:f>3.6/(43*'01_GEN_FRONT'!F8*'01_GEN_FRONT'!M8*'02_RATING_MODEL'!E4)</x:f>
        <x:v>0.4520080457432142</x:v>
      </x:c>
      <x:c r="O11" s="38" t="n">
        <x:f>3.6/(43*'01_GEN_FRONT'!F8*'01_GEN_FRONT'!M8*'02_RATING_MODEL'!E5)</x:f>
        <x:v>0.4429678848283499</x:v>
      </x:c>
      <x:c r="P11" s="38" t="n">
        <x:f>3.6/(43*'01_GEN_FRONT'!F8*'01_GEN_FRONT'!M8*'02_RATING_MODEL'!E6)</x:f>
        <x:v>0.4474423079074242</x:v>
      </x:c>
      <x:c r="Q11" s="38" t="n">
        <x:f>3.6/(43*'01_GEN_FRONT'!F8*'01_GEN_FRONT'!M8*'02_RATING_MODEL'!E7)</x:f>
        <x:v>0.4614248800295312</x:v>
      </x:c>
      <x:c r="R11" s="18" t="str">
        <x:v>pure-jet high-flow branch scale; shaft equivalent only</x:v>
      </x:c>
    </x:row>
    <x:row r="12">
      <x:c r="A12" t="str">
        <x:v>E5</x:v>
      </x:c>
      <x:c r="B12" t="str">
        <x:v>M precursor</x:v>
      </x:c>
      <x:c r="C12" t="str">
        <x:v>R2</x:v>
      </x:c>
      <x:c r="D12" s="36" t="n">
        <x:v>11.5</x:v>
      </x:c>
      <x:c r="E12" s="36" t="n">
        <x:f>'01_GEN_FRONT'!G8</x:f>
        <x:v>126</x:v>
      </x:c>
      <x:c r="F12" s="36" t="n">
        <x:f>'01_GEN_FRONT'!L8</x:f>
        <x:v>0.79</x:v>
      </x:c>
      <x:c r="G12" s="36" t="n">
        <x:f>D12*E12</x:f>
        <x:v>1449</x:v>
      </x:c>
      <x:c r="H12" s="36" t="n">
        <x:f>G12*F12</x:f>
        <x:v>1144.71</x:v>
      </x:c>
      <x:c r="I12" s="42" t="n">
        <x:f>H12/0.7457</x:f>
        <x:v>1535.0811318224487</x:v>
      </x:c>
      <x:c r="J12" s="42" t="n">
        <x:f>H12*'02_RATING_MODEL'!C4</x:f>
        <x:v>1144.71</x:v>
      </x:c>
      <x:c r="K12" s="42" t="n">
        <x:f>H12*'02_RATING_MODEL'!C5</x:f>
        <x:v>1064.5803</x:v>
      </x:c>
      <x:c r="L12" s="42" t="n">
        <x:f>H12*'02_RATING_MODEL'!C6</x:f>
        <x:v>995.8977</x:v>
      </x:c>
      <x:c r="M12" s="42" t="n">
        <x:f>H12*'02_RATING_MODEL'!C7</x:f>
        <x:v>915.768</x:v>
      </x:c>
      <x:c r="N12" s="38" t="n">
        <x:f>3.6/(43*'01_GEN_FRONT'!F8*'01_GEN_FRONT'!M8*'02_RATING_MODEL'!E4)</x:f>
        <x:v>0.4520080457432142</x:v>
      </x:c>
      <x:c r="O12" s="38" t="n">
        <x:f>3.6/(43*'01_GEN_FRONT'!F8*'01_GEN_FRONT'!M8*'02_RATING_MODEL'!E5)</x:f>
        <x:v>0.4429678848283499</x:v>
      </x:c>
      <x:c r="P12" s="38" t="n">
        <x:f>3.6/(43*'01_GEN_FRONT'!F8*'01_GEN_FRONT'!M8*'02_RATING_MODEL'!E6)</x:f>
        <x:v>0.4474423079074242</x:v>
      </x:c>
      <x:c r="Q12" s="38" t="n">
        <x:f>3.6/(43*'01_GEN_FRONT'!F8*'01_GEN_FRONT'!M8*'02_RATING_MODEL'!E7)</x:f>
        <x:v>0.4614248800295312</x:v>
      </x:c>
      <x:c r="R12" s="18" t="str">
        <x:v>full-core precursor; not product</x:v>
      </x:c>
    </x:row>
    <x:row r="13">
      <x:c r="A13" t="str">
        <x:v>E6</x:v>
      </x:c>
      <x:c r="B13" t="str">
        <x:v>S standard</x:v>
      </x:c>
      <x:c r="C13" t="str">
        <x:v>P</x:v>
      </x:c>
      <x:c r="D13" s="36" t="n">
        <x:v>7.8</x:v>
      </x:c>
      <x:c r="E13" s="36" t="n">
        <x:f>'01_GEN_FRONT'!G9</x:f>
        <x:v>155</x:v>
      </x:c>
      <x:c r="F13" s="36" t="n">
        <x:f>'01_GEN_FRONT'!L9</x:f>
        <x:v>0.81</x:v>
      </x:c>
      <x:c r="G13" s="36" t="n">
        <x:f>D13*E13</x:f>
        <x:v>1209</x:v>
      </x:c>
      <x:c r="H13" s="36" t="n">
        <x:f>G13*F13</x:f>
        <x:v>979.2900000000001</x:v>
      </x:c>
      <x:c r="I13" s="42" t="n">
        <x:f>H13/0.7457</x:f>
        <x:v>1313.2492959635242</x:v>
      </x:c>
      <x:c r="J13" s="42" t="n">
        <x:f>H13*'02_RATING_MODEL'!C4</x:f>
        <x:v>979.2900000000001</x:v>
      </x:c>
      <x:c r="K13" s="42" t="n">
        <x:f>H13*'02_RATING_MODEL'!C5</x:f>
        <x:v>910.7397000000001</x:v>
      </x:c>
      <x:c r="L13" s="42" t="n">
        <x:f>H13*'02_RATING_MODEL'!C6</x:f>
        <x:v>851.9823</x:v>
      </x:c>
      <x:c r="M13" s="42" t="n">
        <x:f>H13*'02_RATING_MODEL'!C7</x:f>
        <x:v>783.4320000000001</x:v>
      </x:c>
      <x:c r="N13" s="38" t="n">
        <x:f>3.6/(43*'01_GEN_FRONT'!F9*'01_GEN_FRONT'!M9*'02_RATING_MODEL'!E4)</x:f>
        <x:v>0.38206404582051656</x:v>
      </x:c>
      <x:c r="O13" s="38" t="n">
        <x:f>3.6/(43*'01_GEN_FRONT'!F9*'01_GEN_FRONT'!M9*'02_RATING_MODEL'!E5)</x:f>
        <x:v>0.3744227649041062</x:v>
      </x:c>
      <x:c r="P13" s="38" t="n">
        <x:f>3.6/(43*'01_GEN_FRONT'!F9*'01_GEN_FRONT'!M9*'02_RATING_MODEL'!E6)</x:f>
        <x:v>0.3782048130344507</x:v>
      </x:c>
      <x:c r="Q13" s="38" t="n">
        <x:f>3.6/(43*'01_GEN_FRONT'!F9*'01_GEN_FRONT'!M9*'02_RATING_MODEL'!E7)</x:f>
        <x:v>0.3900237134417773</x:v>
      </x:c>
      <x:c r="R13" s="18" t="str">
        <x:v>small-core product</x:v>
      </x:c>
    </x:row>
    <x:row r="14">
      <x:c r="A14" t="str">
        <x:v>E6</x:v>
      </x:c>
      <x:c r="B14" t="str">
        <x:v>M standard</x:v>
      </x:c>
      <x:c r="C14" t="str">
        <x:v>P</x:v>
      </x:c>
      <x:c r="D14" s="36" t="n">
        <x:v>13.2</x:v>
      </x:c>
      <x:c r="E14" s="36" t="n">
        <x:f>'01_GEN_FRONT'!G9</x:f>
        <x:v>155</x:v>
      </x:c>
      <x:c r="F14" s="36" t="n">
        <x:f>'01_GEN_FRONT'!L9</x:f>
        <x:v>0.81</x:v>
      </x:c>
      <x:c r="G14" s="36" t="n">
        <x:f>D14*E14</x:f>
        <x:v>2046</x:v>
      </x:c>
      <x:c r="H14" s="36" t="n">
        <x:f>G14*F14</x:f>
        <x:v>1657.2600000000002</x:v>
      </x:c>
      <x:c r="I14" s="42" t="n">
        <x:f>H14/0.7457</x:f>
        <x:v>2222.4218854767337</x:v>
      </x:c>
      <x:c r="J14" s="42" t="n">
        <x:f>H14*'02_RATING_MODEL'!C4</x:f>
        <x:v>1657.2600000000002</x:v>
      </x:c>
      <x:c r="K14" s="42" t="n">
        <x:f>H14*'02_RATING_MODEL'!C5</x:f>
        <x:v>1541.2518000000002</x:v>
      </x:c>
      <x:c r="L14" s="42" t="n">
        <x:f>H14*'02_RATING_MODEL'!C6</x:f>
        <x:v>1441.8162000000002</x:v>
      </x:c>
      <x:c r="M14" s="42" t="n">
        <x:f>H14*'02_RATING_MODEL'!C7</x:f>
        <x:v>1325.8080000000002</x:v>
      </x:c>
      <x:c r="N14" s="38" t="n">
        <x:f>3.6/(43*'01_GEN_FRONT'!F9*'01_GEN_FRONT'!M9*'02_RATING_MODEL'!E4)</x:f>
        <x:v>0.38206404582051656</x:v>
      </x:c>
      <x:c r="O14" s="38" t="n">
        <x:f>3.6/(43*'01_GEN_FRONT'!F9*'01_GEN_FRONT'!M9*'02_RATING_MODEL'!E5)</x:f>
        <x:v>0.3744227649041062</x:v>
      </x:c>
      <x:c r="P14" s="38" t="n">
        <x:f>3.6/(43*'01_GEN_FRONT'!F9*'01_GEN_FRONT'!M9*'02_RATING_MODEL'!E6)</x:f>
        <x:v>0.3782048130344507</x:v>
      </x:c>
      <x:c r="Q14" s="38" t="n">
        <x:f>3.6/(43*'01_GEN_FRONT'!F9*'01_GEN_FRONT'!M9*'02_RATING_MODEL'!E7)</x:f>
        <x:v>0.3900237134417773</x:v>
      </x:c>
      <x:c r="R14" s="18" t="str">
        <x:v>medium-core product authority</x:v>
      </x:c>
    </x:row>
    <x:row r="15">
      <x:c r="A15" t="str">
        <x:v>E6</x:v>
      </x:c>
      <x:c r="B15" t="str">
        <x:v>L precursor</x:v>
      </x:c>
      <x:c r="C15" t="str">
        <x:v>R2</x:v>
      </x:c>
      <x:c r="D15" s="36" t="n">
        <x:v>21</x:v>
      </x:c>
      <x:c r="E15" s="36" t="n">
        <x:f>'01_GEN_FRONT'!G9</x:f>
        <x:v>155</x:v>
      </x:c>
      <x:c r="F15" s="36" t="n">
        <x:f>'01_GEN_FRONT'!L9</x:f>
        <x:v>0.81</x:v>
      </x:c>
      <x:c r="G15" s="36" t="n">
        <x:f>D15*E15</x:f>
        <x:v>3255</x:v>
      </x:c>
      <x:c r="H15" s="36" t="n">
        <x:f>G15*F15</x:f>
        <x:v>2636.55</x:v>
      </x:c>
      <x:c r="I15" s="42" t="n">
        <x:f>H15/0.7457</x:f>
        <x:v>3535.6711814402574</x:v>
      </x:c>
      <x:c r="J15" s="42" t="n">
        <x:f>H15*'02_RATING_MODEL'!C4</x:f>
        <x:v>2636.55</x:v>
      </x:c>
      <x:c r="K15" s="42" t="n">
        <x:f>H15*'02_RATING_MODEL'!C5</x:f>
        <x:v>2451.9915</x:v>
      </x:c>
      <x:c r="L15" s="42" t="n">
        <x:f>H15*'02_RATING_MODEL'!C6</x:f>
        <x:v>2293.7985000000003</x:v>
      </x:c>
      <x:c r="M15" s="42" t="n">
        <x:f>H15*'02_RATING_MODEL'!C7</x:f>
        <x:v>2109.2400000000002</x:v>
      </x:c>
      <x:c r="N15" s="38" t="n">
        <x:f>3.6/(43*'01_GEN_FRONT'!F9*'01_GEN_FRONT'!M9*'02_RATING_MODEL'!E4)</x:f>
        <x:v>0.38206404582051656</x:v>
      </x:c>
      <x:c r="O15" s="38" t="n">
        <x:f>3.6/(43*'01_GEN_FRONT'!F9*'01_GEN_FRONT'!M9*'02_RATING_MODEL'!E5)</x:f>
        <x:v>0.3744227649041062</x:v>
      </x:c>
      <x:c r="P15" s="38" t="n">
        <x:f>3.6/(43*'01_GEN_FRONT'!F9*'01_GEN_FRONT'!M9*'02_RATING_MODEL'!E6)</x:f>
        <x:v>0.3782048130344507</x:v>
      </x:c>
      <x:c r="Q15" s="38" t="n">
        <x:f>3.6/(43*'01_GEN_FRONT'!F9*'01_GEN_FRONT'!M9*'02_RATING_MODEL'!E7)</x:f>
        <x:v>0.3900237134417773</x:v>
      </x:c>
      <x:c r="R15" s="18" t="str">
        <x:v>large hot-core research envelope</x:v>
      </x:c>
    </x:row>
    <x:row r="18">
      <x:c r="A18" s="13" t="str">
        <x:v>Authority anchors / sanity checks</x:v>
      </x:c>
      <x:c r="B18" s="13"/>
      <x:c r="C18" s="13"/>
      <x:c r="D18" s="13"/>
      <x:c r="E18" s="13"/>
      <x:c r="F18" s="13"/>
      <x:c r="G18" s="13"/>
      <x:c r="H18" s="13"/>
    </x:row>
    <x:row r="19">
      <x:c r="A19" s="28" t="str">
        <x:v>Anchor</x:v>
      </x:c>
      <x:c r="B19" s="28" t="str">
        <x:v>Authority value</x:v>
      </x:c>
      <x:c r="C19" s="28" t="str">
        <x:v>Model node</x:v>
      </x:c>
      <x:c r="D19" s="28" t="str">
        <x:v>Model value</x:v>
      </x:c>
      <x:c r="E19" s="28" t="str">
        <x:v>Variance</x:v>
      </x:c>
      <x:c r="F19" s="28" t="str">
        <x:v>Status</x:v>
      </x:c>
      <x:c r="G19" s="28" t="str">
        <x:v>Interpretation</x:v>
      </x:c>
      <x:c r="H19" s="28" t="str">
        <x:v>Source note</x:v>
      </x:c>
    </x:row>
    <x:row r="20">
      <x:c r="A20" t="str">
        <x:v>E4 simple shaft kW</x:v>
      </x:c>
      <x:c r="B20" t="n">
        <x:v>507</x:v>
      </x:c>
      <x:c r="C20" t="str">
        <x:v>E4 S standard</x:v>
      </x:c>
      <x:c r="D20" t="n">
        <x:f>H8</x:f>
        <x:v>507.2034</x:v>
      </x:c>
      <x:c r="E20" s="34" t="n">
        <x:f>D20/B20-1</x:f>
        <x:v>0.00040118343195261197</x:v>
      </x:c>
      <x:c r="F20" t="str">
        <x:v>FIXED vs model</x:v>
      </x:c>
      <x:c r="G20" t="str">
        <x:v>work factor calibrated to match</x:v>
      </x:c>
      <x:c r="H20" t="str">
        <x:v>v48 6.7 kg/s</x:v>
      </x:c>
    </x:row>
    <x:row r="21">
      <x:c r="A21" t="str">
        <x:v>E4 simple SFC kg/kWh</x:v>
      </x:c>
      <x:c r="B21" t="n">
        <x:v>0.557</x:v>
      </x:c>
      <x:c r="C21" t="str">
        <x:v>E4 S standard N</x:v>
      </x:c>
      <x:c r="D21" t="n">
        <x:f>O8</x:f>
        <x:v>0.5576933801795774</x:v>
      </x:c>
      <x:c r="E21" s="34" t="n">
        <x:f>D21/B21-1</x:f>
        <x:v>0.0012448477191693286</x:v>
      </x:c>
      <x:c r="F21" t="str">
        <x:v>FIXED vs model</x:v>
      </x:c>
      <x:c r="G21" t="str">
        <x:v>shaft-eff factor calibrated near authority</x:v>
      </x:c>
      <x:c r="H21" t="str">
        <x:v>v48 simple shaft SFC</x:v>
      </x:c>
    </x:row>
    <x:row r="22">
      <x:c r="A22" t="str">
        <x:v>E5 non-Ni 800C hp</x:v>
      </x:c>
      <x:c r="B22" t="n">
        <x:v>1014</x:v>
      </x:c>
      <x:c r="C22" t="str">
        <x:v>E5 S standard</x:v>
      </x:c>
      <x:c r="D22" t="n">
        <x:f>I10</x:f>
        <x:v>1014.4884001609224</x:v>
      </x:c>
      <x:c r="E22" s="34" t="n">
        <x:f>D22/B22-1</x:f>
        <x:v>0.0004816569634342738</x:v>
      </x:c>
      <x:c r="F22" t="str">
        <x:v>FIXED vs model</x:v>
      </x:c>
      <x:c r="G22" t="str">
        <x:v>work factor calibrated to authority</x:v>
      </x:c>
      <x:c r="H22" t="str">
        <x:v>v48 E5</x:v>
      </x:c>
    </x:row>
    <x:row r="23">
      <x:c r="A23" t="str">
        <x:v>E6-M installed capability hp</x:v>
      </x:c>
      <x:c r="B23" t="n">
        <x:v>2253</x:v>
      </x:c>
      <x:c r="C23" t="str">
        <x:v>E6 M standard</x:v>
      </x:c>
      <x:c r="D23" t="n">
        <x:f>I14</x:f>
        <x:v>2222.4218854767337</x:v>
      </x:c>
      <x:c r="E23" s="34" t="n">
        <x:f>D23/B23-1</x:f>
        <x:v>-0.013572176885604192</x:v>
      </x:c>
      <x:c r="F23" t="str">
        <x:v>FIXED vs model</x:v>
      </x:c>
      <x:c r="G23" t="str">
        <x:v>scale work-factor approximation</x:v>
      </x:c>
      <x:c r="H23" t="str">
        <x:v>v48 E6-M</x:v>
      </x:c>
    </x:row>
  </x:sheetData>
  <x:mergeCells>
    <x:mergeCell ref="A1:R1"/>
    <x:mergeCell ref="A18:H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34" hidden="0" customWidth="1"/>
    <x:col min="9" max="9" width="14" hidden="0" customWidth="1"/>
    <x:col min="10" max="10" width="14" hidden="0" customWidth="1"/>
    <x:col min="11" max="11" width="32" hidden="0" customWidth="1"/>
    <x:col min="12" max="12" width="22" hidden="0" customWidth="1"/>
    <x:col min="13" max="13" width="16" hidden="0" customWidth="1"/>
    <x:col min="14" max="14" width="52" hidden="0" customWidth="1"/>
  </x:cols>
  <x:sheetData>
    <x:row r="1">
      <x:c r="A1" s="5" t="str">
        <x:v>Rear-end / Propulsion-form Evolution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28" t="str">
        <x:v>Gen</x:v>
      </x:c>
      <x:c r="B3" s="28" t="str">
        <x:v>Years</x:v>
      </x:c>
      <x:c r="C3" s="28" t="str">
        <x:v>TP / shaft-to-prop readiness</x:v>
      </x:c>
      <x:c r="D3" s="28" t="str">
        <x:v>Pure-jet flow kg/s</x:v>
      </x:c>
      <x:c r="E3" s="28" t="str">
        <x:v>Pure thrust low kgf</x:v>
      </x:c>
      <x:c r="F3" s="28" t="str">
        <x:v>Pure thrust high kgf</x:v>
      </x:c>
      <x:c r="G3" s="28" t="str">
        <x:v>Pure TSFC note</x:v>
      </x:c>
      <x:c r="H3" s="28" t="str">
        <x:v>Aft-fan readiness</x:v>
      </x:c>
      <x:c r="I3" s="28" t="str">
        <x:v>Aft-fan thrust low</x:v>
      </x:c>
      <x:c r="J3" s="28" t="str">
        <x:v>Aft-fan thrust high</x:v>
      </x:c>
      <x:c r="K3" s="28" t="str">
        <x:v>Front-fan readiness</x:v>
      </x:c>
      <x:c r="L3" s="28" t="str">
        <x:v>Free-turbine maturity</x:v>
      </x:c>
      <x:c r="M3" s="28" t="str">
        <x:v>Status</x:v>
      </x:c>
      <x:c r="N3" s="28" t="str">
        <x:v>Interpretation</x:v>
      </x:c>
    </x:row>
    <x:row r="4">
      <x:c r="A4" t="str">
        <x:v>E1</x:v>
      </x:c>
      <x:c r="B4" t="str">
        <x:v>~1921</x:v>
      </x:c>
      <x:c r="C4" s="18" t="str">
        <x:v>prop/fan load concept &amp; brake rig</x:v>
      </x:c>
      <x:c r="D4" s="18"/>
      <x:c r="E4" s="18"/>
      <x:c r="F4" s="18"/>
      <x:c r="G4" s="18" t="str">
        <x:v>—</x:v>
      </x:c>
      <x:c r="H4" s="18" t="str">
        <x:v>concept/load only</x:v>
      </x:c>
      <x:c r="I4" s="18"/>
      <x:c r="J4" s="18"/>
      <x:c r="K4" s="18" t="str">
        <x:v>R0 concept only</x:v>
      </x:c>
      <x:c r="L4" s="18" t="str">
        <x:v>incipient</x:v>
      </x:c>
      <x:c r="M4" s="18" t="str">
        <x:v>DERIVED-WORKING</x:v>
      </x:c>
      <x:c r="N4" s="18" t="str">
        <x:v>GTを軸仕事機械として扱う時点からTP祖先が存在。</x:v>
      </x:c>
    </x:row>
    <x:row r="5">
      <x:c r="A5" t="str">
        <x:v>E2</x:v>
      </x:c>
      <x:c r="B5" t="str">
        <x:v>~1925</x:v>
      </x:c>
      <x:c r="C5" s="18" t="str">
        <x:v>reduction + prop load rig</x:v>
      </x:c>
      <x:c r="D5" s="18"/>
      <x:c r="E5" s="18"/>
      <x:c r="F5" s="18"/>
      <x:c r="G5" s="18" t="str">
        <x:v>—</x:v>
      </x:c>
      <x:c r="H5" s="18" t="str">
        <x:v>ducted load rig</x:v>
      </x:c>
      <x:c r="I5" s="18"/>
      <x:c r="J5" s="18"/>
      <x:c r="K5" s="18" t="str">
        <x:v>R0</x:v>
      </x:c>
      <x:c r="L5" s="18" t="str">
        <x:v>early</x:v>
      </x:c>
      <x:c r="M5" s="18" t="str">
        <x:v>DERIVED-WORKING</x:v>
      </x:c>
      <x:c r="N5" s="18" t="str">
        <x:v>過給機・高速軸/軸受経験がgear/prop負荷へ返る。</x:v>
      </x:c>
    </x:row>
    <x:row r="6">
      <x:c r="A6" t="str">
        <x:v>E3</x:v>
      </x:c>
      <x:c r="B6" t="str">
        <x:v>1928–29</x:v>
      </x:c>
      <x:c r="C6" s="18" t="str">
        <x:v>full prop ground rig; captive/flight test plausible</x:v>
      </x:c>
      <x:c r="D6" s="18" t="n">
        <x:v>5</x:v>
      </x:c>
      <x:c r="E6" s="18" t="n">
        <x:v>160</x:v>
      </x:c>
      <x:c r="F6" s="18" t="n">
        <x:v>250</x:v>
      </x:c>
      <x:c r="G6" s="18" t="str">
        <x:v>OPEN / high</x:v>
      </x:c>
      <x:c r="H6" s="18" t="str">
        <x:v>crude aft/out-fan rig</x:v>
      </x:c>
      <x:c r="I6" s="18" t="n">
        <x:v>180</x:v>
      </x:c>
      <x:c r="J6" s="18" t="n">
        <x:v>300</x:v>
      </x:c>
      <x:c r="K6" s="18" t="str">
        <x:v>R0</x:v>
      </x:c>
      <x:c r="L6" s="18" t="str">
        <x:v>usable experimental</x:v>
      </x:c>
      <x:c r="M6" s="18" t="str">
        <x:v>DERIVED-WORKING</x:v>
      </x:c>
      <x:c r="N6" s="18" t="str">
        <x:v>pureは重く航空商品に弱い。TPは軸出力をプロペラで使えるため相対的に早い。</x:v>
      </x:c>
    </x:row>
    <x:row r="7">
      <x:c r="A7" t="str">
        <x:v>E4</x:v>
      </x:c>
      <x:c r="B7" t="str">
        <x:v>1931–33</x:v>
      </x:c>
      <x:c r="C7" s="18" t="str">
        <x:v>flight demonstrator / limited-use candidate</x:v>
      </x:c>
      <x:c r="D7" s="18" t="n">
        <x:v>6.7</x:v>
      </x:c>
      <x:c r="E7" s="18" t="n">
        <x:v>300</x:v>
      </x:c>
      <x:c r="F7" s="18" t="n">
        <x:v>330</x:v>
      </x:c>
      <x:c r="G7" s="18" t="str">
        <x:v>~1.0–1.15 kg/(kgf h) working</x:v>
      </x:c>
      <x:c r="H7" s="18" t="str">
        <x:v>rig/pod; small aircraft not yet attractive</x:v>
      </x:c>
      <x:c r="I7" s="18" t="n">
        <x:v>350</x:v>
      </x:c>
      <x:c r="J7" s="18" t="n">
        <x:v>400</x:v>
      </x:c>
      <x:c r="K7" s="18" t="str">
        <x:v>R0/R1 layout</x:v>
      </x:c>
      <x:c r="L7" s="18" t="str">
        <x:v>product-capable</x:v>
      </x:c>
      <x:c r="M7" s="18" t="str">
        <x:v>MIXED</x:v>
      </x:c>
      <x:c r="N7" s="18" t="str">
        <x:v>pure飛行成立。aft-fanは重量/径が推力増を食う。</x:v>
      </x:c>
    </x:row>
    <x:row r="8">
      <x:c r="A8" t="str">
        <x:v>E5</x:v>
      </x:c>
      <x:c r="B8" t="str">
        <x:v>1934–37</x:v>
      </x:c>
      <x:c r="C8" s="18" t="str">
        <x:v>~950–1,060 hp class practical TP</x:v>
      </x:c>
      <x:c r="D8" s="18" t="n">
        <x:v>8.4</x:v>
      </x:c>
      <x:c r="E8" s="18" t="n">
        <x:v>430</x:v>
      </x:c>
      <x:c r="F8" s="18" t="n">
        <x:v>470</x:v>
      </x:c>
      <x:c r="G8" s="18" t="str">
        <x:v>OPEN installed audit</x:v>
      </x:c>
      <x:c r="H8" s="18" t="str">
        <x:v>flight package audit</x:v>
      </x:c>
      <x:c r="I8" s="18" t="n">
        <x:v>520</x:v>
      </x:c>
      <x:c r="J8" s="18" t="n">
        <x:v>570</x:v>
      </x:c>
      <x:c r="K8" s="18" t="str">
        <x:v>R0/R1; gearbox/two-spool studies</x:v>
      </x:c>
      <x:c r="L8" s="18" t="str">
        <x:v>mature</x:v>
      </x:c>
      <x:c r="M8" s="18" t="str">
        <x:v>MIXED</x:v>
      </x:c>
      <x:c r="N8" s="18" t="str">
        <x:v>aft-fan数値はE6 gainを後方適用したworking band。front-fanはまだ商品でない。</x:v>
      </x:c>
    </x:row>
    <x:row r="9">
      <x:c r="A9" t="str">
        <x:v>E6</x:v>
      </x:c>
      <x:c r="B9" t="str">
        <x:v>1938–41</x:v>
      </x:c>
      <x:c r="C9" s="18" t="str">
        <x:v>S 1,300–1,500 hp; M 1,870–2,100 hp input class</x:v>
      </x:c>
      <x:c r="D9" s="18" t="n">
        <x:v>13.2</x:v>
      </x:c>
      <x:c r="E9" s="18" t="n">
        <x:v>850</x:v>
      </x:c>
      <x:c r="F9" s="18" t="n">
        <x:v>900</x:v>
      </x:c>
      <x:c r="G9" s="18" t="str">
        <x:v>0.785 at 835C long-life pure reference</x:v>
      </x:c>
      <x:c r="H9" s="18" t="str">
        <x:v>product</x:v>
      </x:c>
      <x:c r="I9" s="18" t="n">
        <x:v>950</x:v>
      </x:c>
      <x:c r="J9" s="18" t="n">
        <x:v>1000</x:v>
      </x:c>
      <x:c r="K9" s="18" t="str">
        <x:v>R1/R2 ground/component; product later</x:v>
      </x:c>
      <x:c r="L9" s="18" t="str">
        <x:v>qualified</x:v>
      </x:c>
      <x:c r="M9" s="18" t="str">
        <x:v>FIXED + OPEN</x:v>
      </x:c>
      <x:c r="N9" s="18" t="str">
        <x:v>aft-fan=BPR~1/FPR~1.30, 610–690 kg dry。front-fanは次世代商品へ向け研究。</x:v>
      </x:c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32" hidden="0" customWidth="1"/>
    <x:col min="10" max="10" width="42" hidden="0" customWidth="1"/>
  </x:cols>
  <x:sheetData>
    <x:row r="1">
      <x:c r="A1" s="5" t="str">
        <x:v>Application Readiness Matrix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8" t="str">
        <x:v>Gen</x:v>
      </x:c>
      <x:c r="B3" s="28" t="str">
        <x:v>Stationary generation/process</x:v>
      </x:c>
      <x:c r="C3" s="28" t="str">
        <x:v>Ground vehicle</x:v>
      </x:c>
      <x:c r="D3" s="28" t="str">
        <x:v>Marine/shipboard</x:v>
      </x:c>
      <x:c r="E3" s="28" t="str">
        <x:v>TP aviation</x:v>
      </x:c>
      <x:c r="F3" s="28" t="str">
        <x:v>Pure jet aviation</x:v>
      </x:c>
      <x:c r="G3" s="28" t="str">
        <x:v>Aft-fan</x:v>
      </x:c>
      <x:c r="H3" s="28" t="str">
        <x:v>Front-fan</x:v>
      </x:c>
      <x:c r="I3" s="28" t="str">
        <x:v>Scale development</x:v>
      </x:c>
      <x:c r="J3" s="28" t="str">
        <x:v>Key feedback to next gen</x:v>
      </x:c>
    </x:row>
    <x:row r="4">
      <x:c r="A4" t="str">
        <x:v>E1</x:v>
      </x:c>
      <x:c r="B4" s="18" t="str">
        <x:v>R2: test generator/load stand</x:v>
      </x:c>
      <x:c r="C4" s="18" t="str">
        <x:v>R0</x:v>
      </x:c>
      <x:c r="D4" s="18" t="str">
        <x:v>R0 shaft/load</x:v>
      </x:c>
      <x:c r="E4" s="18" t="str">
        <x:v>R0 prop load</x:v>
      </x:c>
      <x:c r="F4" s="18" t="str">
        <x:v>—</x:v>
      </x:c>
      <x:c r="G4" s="18" t="str">
        <x:v>—</x:v>
      </x:c>
      <x:c r="H4" s="18" t="str">
        <x:v>—</x:v>
      </x:c>
      <x:c r="I4" s="18" t="str">
        <x:v>small integrated rotor</x:v>
      </x:c>
      <x:c r="J4" s="18" t="str">
        <x:v>bearing/seal/balance/starting</x:v>
      </x:c>
    </x:row>
    <x:row r="5">
      <x:c r="A5" t="str">
        <x:v>E2</x:v>
      </x:c>
      <x:c r="B5" s="18" t="str">
        <x:v>R2/P-limited: emergency/peak set</x:v>
      </x:c>
      <x:c r="C5" s="18" t="str">
        <x:v>R0/R1 mule concept</x:v>
      </x:c>
      <x:c r="D5" s="18" t="str">
        <x:v>R1 reduction/load</x:v>
      </x:c>
      <x:c r="E5" s="18" t="str">
        <x:v>R1 prop rig</x:v>
      </x:c>
      <x:c r="F5" s="18" t="str">
        <x:v>—</x:v>
      </x:c>
      <x:c r="G5" s="18" t="str">
        <x:v>R0 ducted fan</x:v>
      </x:c>
      <x:c r="H5" s="18" t="str">
        <x:v>R0</x:v>
      </x:c>
      <x:c r="I5" s="18" t="str">
        <x:v>larger compressor/rotor components</x:v>
      </x:c>
      <x:c r="J5" s="18" t="str">
        <x:v>high-speed rotor + gear practice</x:v>
      </x:c>
    </x:row>
    <x:row r="6">
      <x:c r="A6" t="str">
        <x:v>E3</x:v>
      </x:c>
      <x:c r="B6" s="18" t="str">
        <x:v>R2: industrial experimental set</x:v>
      </x:c>
      <x:c r="C6" s="18" t="str">
        <x:v>R1 drivetrain mule</x:v>
      </x:c>
      <x:c r="D6" s="18" t="str">
        <x:v>R2 marine reduction rig</x:v>
      </x:c>
      <x:c r="E6" s="18" t="str">
        <x:v>R2 ground/flight demonstrator</x:v>
      </x:c>
      <x:c r="F6" s="18" t="str">
        <x:v>R2 pod only</x:v>
      </x:c>
      <x:c r="G6" s="18" t="str">
        <x:v>R2 crude fan rig</x:v>
      </x:c>
      <x:c r="H6" s="18" t="str">
        <x:v>R0</x:v>
      </x:c>
      <x:c r="I6" s="18" t="str">
        <x:v>4–6 kg/s integrated; 6–8 research</x:v>
      </x:c>
      <x:c r="J6" s="18" t="str">
        <x:v>free turbine + load matching</x:v>
      </x:c>
    </x:row>
    <x:row r="7">
      <x:c r="A7" t="str">
        <x:v>E4</x:v>
      </x:c>
      <x:c r="B7" s="18" t="str">
        <x:v>P: simple + regenerative stationary</x:v>
      </x:c>
      <x:c r="C7" s="18" t="str">
        <x:v>R2 vehicle mule plausible</x:v>
      </x:c>
      <x:c r="D7" s="18" t="str">
        <x:v>R2/P-limited small craft/aux</x:v>
      </x:c>
      <x:c r="E7" s="18" t="str">
        <x:v>R2/P-limited aviation TP</x:v>
      </x:c>
      <x:c r="F7" s="18" t="str">
        <x:v>P-demonstrator jet</x:v>
      </x:c>
      <x:c r="G7" s="18" t="str">
        <x:v>R2 pod/testbed</x:v>
      </x:c>
      <x:c r="H7" s="18" t="str">
        <x:v>R0/R1</x:v>
      </x:c>
      <x:c r="I7" s="18" t="str">
        <x:v>6.7 P; 8–10 R2; ~11 R1</x:v>
      </x:c>
      <x:c r="J7" s="18" t="str">
        <x:v>fuel/low-speed issue drives high-lift; marine drives scale</x:v>
      </x:c>
    </x:row>
    <x:row r="8">
      <x:c r="A8" t="str">
        <x:v>E5</x:v>
      </x:c>
      <x:c r="B8" s="18" t="str">
        <x:v>P: long-duty generator/process</x:v>
      </x:c>
      <x:c r="C8" s="18" t="str">
        <x:v>R2 vehicle GT; filters/transmission gate</x:v>
      </x:c>
      <x:c r="D8" s="18" t="str">
        <x:v>P-limited small craft; larger marine R2</x:v>
      </x:c>
      <x:c r="E8" s="18" t="str">
        <x:v>P: 950–1,060 hp class</x:v>
      </x:c>
      <x:c r="F8" s="18" t="str">
        <x:v>P-limited/high-speed military test</x:v>
      </x:c>
      <x:c r="G8" s="18" t="str">
        <x:v>R2 flight audit</x:v>
      </x:c>
      <x:c r="H8" s="18" t="str">
        <x:v>R0/R1 two-spool/geared studies</x:v>
      </x:c>
      <x:c r="I8" s="18" t="str">
        <x:v>7.6–8.4 P; 9–12 R2; 12–15 R1</x:v>
      </x:c>
      <x:c r="J8" s="18" t="str">
        <x:v>S ceiling creates M-scale demand</x:v>
      </x:c>
    </x:row>
    <x:row r="9">
      <x:c r="A9" t="str">
        <x:v>E6</x:v>
      </x:c>
      <x:c r="B9" s="18" t="str">
        <x:v>P: ~1 MW+ class long-life sets</x:v>
      </x:c>
      <x:c r="C9" s="18" t="str">
        <x:v>P-limited special vehicle possible</x:v>
      </x:c>
      <x:c r="D9" s="18" t="str">
        <x:v>P: 2,000 hp-class module; L-scale R2</x:v>
      </x:c>
      <x:c r="E9" s="18" t="str">
        <x:v>P: S/M input; prop absorption OPEN</x:v>
      </x:c>
      <x:c r="F9" s="18" t="str">
        <x:v>P: 850–900 kgf M</x:v>
      </x:c>
      <x:c r="G9" s="18" t="str">
        <x:v>P: 950–1,000 kgf M</x:v>
      </x:c>
      <x:c r="H9" s="18" t="str">
        <x:v>R1/R2 ground/component</x:v>
      </x:c>
      <x:c r="I9" s="18" t="str">
        <x:v>7.8 S + 13.2 M P; 20–21 R2</x:v>
      </x:c>
      <x:c r="J9" s="18" t="str">
        <x:v>L-scale, front-fan, powered-lift research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18" hidden="0" customWidth="1"/>
    <x:col min="5" max="5" width="22" hidden="0" customWidth="1"/>
    <x:col min="6" max="6" width="12" hidden="0" customWidth="1"/>
    <x:col min="7" max="7" width="24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10" hidden="0" customWidth="1"/>
    <x:col min="13" max="13" width="34" hidden="0" customWidth="1"/>
    <x:col min="14" max="14" width="30" hidden="0" customWidth="1"/>
    <x:col min="15" max="15" width="38" hidden="0" customWidth="1"/>
    <x:col min="16" max="16" width="18" hidden="0" customWidth="1"/>
    <x:col min="17" max="17" width="36" hidden="0" customWidth="1"/>
  </x:cols>
  <x:sheetData>
    <x:row r="1">
      <x:c r="A1" s="5" t="str">
        <x:v>Extracted Product / Test-Article Candidates (from capability envelope)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3">
      <x:c r="A3" s="28" t="str">
        <x:v>ID</x:v>
      </x:c>
      <x:c r="B3" s="28" t="str">
        <x:v>Window</x:v>
      </x:c>
      <x:c r="C3" s="28" t="str">
        <x:v>Gen</x:v>
      </x:c>
      <x:c r="D3" s="28" t="str">
        <x:v>Scale</x:v>
      </x:c>
      <x:c r="E3" s="28" t="str">
        <x:v>Rear-end</x:v>
      </x:c>
      <x:c r="F3" s="28" t="str">
        <x:v>Rating</x:v>
      </x:c>
      <x:c r="G3" s="28" t="str">
        <x:v>Application</x:v>
      </x:c>
      <x:c r="H3" s="28" t="str">
        <x:v>Maturity</x:v>
      </x:c>
      <x:c r="I3" s="28" t="str">
        <x:v>Main metric</x:v>
      </x:c>
      <x:c r="J3" s="28" t="str">
        <x:v>Low</x:v>
      </x:c>
      <x:c r="K3" s="28" t="str">
        <x:v>High</x:v>
      </x:c>
      <x:c r="L3" s="28" t="str">
        <x:v>Unit</x:v>
      </x:c>
      <x:c r="M3" s="28" t="str">
        <x:v>SFC / efficiency note</x:v>
      </x:c>
      <x:c r="N3" s="28" t="str">
        <x:v>Rating detail</x:v>
      </x:c>
      <x:c r="O3" s="28" t="str">
        <x:v>Why it exists</x:v>
      </x:c>
      <x:c r="P3" s="28" t="str">
        <x:v>Status</x:v>
      </x:c>
      <x:c r="Q3" s="28" t="str">
        <x:v>Key gate</x:v>
      </x:c>
    </x:row>
    <x:row r="4">
      <x:c r="A4" t="str">
        <x:v>G1-RIG</x:v>
      </x:c>
      <x:c r="B4" t="str">
        <x:v>1921–24</x:v>
      </x:c>
      <x:c r="C4" t="str">
        <x:v>E1</x:v>
      </x:c>
      <x:c r="D4" t="str">
        <x:v>small</x:v>
      </x:c>
      <x:c r="E4" t="str">
        <x:v>shaft</x:v>
      </x:c>
      <x:c r="F4" t="str">
        <x:v>H/N</x:v>
      </x:c>
      <x:c r="G4" t="str">
        <x:v>stationary test</x:v>
      </x:c>
      <x:c r="H4" t="str">
        <x:v>R2</x:v>
      </x:c>
      <x:c r="I4" s="18" t="str">
        <x:v>shaft output</x:v>
      </x:c>
      <x:c r="J4" s="44" t="n">
        <x:f>'03_SHAFT_ENVELOPE'!L4</x:f>
        <x:v>37.584</x:v>
      </x:c>
      <x:c r="K4" s="44" t="n">
        <x:f>'03_SHAFT_ENVELOPE'!J4</x:f>
        <x:v>43.2</x:v>
      </x:c>
      <x:c r="L4" s="18" t="str">
        <x:v>kW</x:v>
      </x:c>
      <x:c r="M4" s="18" t="str">
        <x:v>high SFC</x:v>
      </x:c>
      <x:c r="N4" s="18" t="str">
        <x:v>load stand / generator</x:v>
      </x:c>
      <x:c r="O4" s="18" t="str">
        <x:v>first net-shaft evidence</x:v>
      </x:c>
      <x:c r="P4" s="18" t="str">
        <x:v>DERIVED-WORKING</x:v>
      </x:c>
      <x:c r="Q4" s="18" t="str">
        <x:v>bearing/seal/starting</x:v>
      </x:c>
    </x:row>
    <x:row r="5">
      <x:c r="A5" t="str">
        <x:v>G2-LIM</x:v>
      </x:c>
      <x:c r="B5" t="str">
        <x:v>1925–28</x:v>
      </x:c>
      <x:c r="C5" t="str">
        <x:v>E2</x:v>
      </x:c>
      <x:c r="D5" t="str">
        <x:v>small</x:v>
      </x:c>
      <x:c r="E5" t="str">
        <x:v>shaft</x:v>
      </x:c>
      <x:c r="F5" t="str">
        <x:v>N/C</x:v>
      </x:c>
      <x:c r="G5" t="str">
        <x:v>emergency/peak generation</x:v>
      </x:c>
      <x:c r="H5" t="str">
        <x:v>P-limited</x:v>
      </x:c>
      <x:c r="I5" s="18" t="str">
        <x:v>shaft output</x:v>
      </x:c>
      <x:c r="J5" s="44" t="n">
        <x:f>'03_SHAFT_ENVELOPE'!L5</x:f>
        <x:v>114.00479999999999</x:v>
      </x:c>
      <x:c r="K5" s="44" t="n">
        <x:f>'03_SHAFT_ENVELOPE'!K5</x:f>
        <x:v>121.8672</x:v>
      </x:c>
      <x:c r="L5" s="18" t="str">
        <x:v>kW</x:v>
      </x:c>
      <x:c r="M5" s="18" t="str">
        <x:v>simple cycle</x:v>
      </x:c>
      <x:c r="N5" s="18" t="str">
        <x:v>limited duty</x:v>
      </x:c>
      <x:c r="O5" s="18" t="str">
        <x:v>rapid-start niche; endurance fleet</x:v>
      </x:c>
      <x:c r="P5" s="18" t="str">
        <x:v>DERIVED-WORKING</x:v>
      </x:c>
      <x:c r="Q5" s="18" t="str">
        <x:v>fuel economy/maintenance</x:v>
      </x:c>
    </x:row>
    <x:row r="6">
      <x:c r="A6" t="str">
        <x:v>E3-GE</x:v>
      </x:c>
      <x:c r="B6" t="str">
        <x:v>1928–31</x:v>
      </x:c>
      <x:c r="C6" t="str">
        <x:v>E3</x:v>
      </x:c>
      <x:c r="D6" t="str">
        <x:v>small</x:v>
      </x:c>
      <x:c r="E6" t="str">
        <x:v>shaft</x:v>
      </x:c>
      <x:c r="F6" t="str">
        <x:v>N/C</x:v>
      </x:c>
      <x:c r="G6" t="str">
        <x:v>industrial experimental</x:v>
      </x:c>
      <x:c r="H6" t="str">
        <x:v>R2</x:v>
      </x:c>
      <x:c r="I6" s="18" t="str">
        <x:v>shaft output</x:v>
      </x:c>
      <x:c r="J6" s="44" t="n">
        <x:f>'03_SHAFT_ENVELOPE'!L6</x:f>
        <x:v>267.96</x:v>
      </x:c>
      <x:c r="K6" s="44" t="n">
        <x:f>'03_SHAFT_ENVELOPE'!K6</x:f>
        <x:v>286.44</x:v>
      </x:c>
      <x:c r="L6" s="18" t="str">
        <x:v>kW</x:v>
      </x:c>
      <x:c r="M6" s="18" t="str">
        <x:v>simple cycle</x:v>
      </x:c>
      <x:c r="N6" s="18" t="str">
        <x:v>continuous trial</x:v>
      </x:c>
      <x:c r="O6" s="18" t="str">
        <x:v>hundreds-hour endurance source</x:v>
      </x:c>
      <x:c r="P6" s="18" t="str">
        <x:v>DERIVED-WORKING</x:v>
      </x:c>
      <x:c r="Q6" s="18" t="str">
        <x:v>production repeatability</x:v>
      </x:c>
    </x:row>
    <x:row r="7">
      <x:c r="A7" t="str">
        <x:v>E3-TPR</x:v>
      </x:c>
      <x:c r="B7" t="str">
        <x:v>1928–31</x:v>
      </x:c>
      <x:c r="C7" t="str">
        <x:v>E3</x:v>
      </x:c>
      <x:c r="D7" t="str">
        <x:v>small</x:v>
      </x:c>
      <x:c r="E7" t="str">
        <x:v>free turbine + prop</x:v>
      </x:c>
      <x:c r="F7" t="str">
        <x:v>N</x:v>
      </x:c>
      <x:c r="G7" t="str">
        <x:v>aviation research</x:v>
      </x:c>
      <x:c r="H7" t="str">
        <x:v>R2</x:v>
      </x:c>
      <x:c r="I7" s="18" t="str">
        <x:v>shaft hp</x:v>
      </x:c>
      <x:c r="J7" s="44" t="n">
        <x:f>'03_SHAFT_ENVELOPE'!L6/0.7457*'02_RATING_MODEL'!B14</x:f>
        <x:v>323.40619552098696</x:v>
      </x:c>
      <x:c r="K7" s="44" t="n">
        <x:f>'03_SHAFT_ENVELOPE'!K6/0.7457*'02_RATING_MODEL'!B14</x:f>
        <x:v>345.7100710741585</x:v>
      </x:c>
      <x:c r="L7" s="18" t="str">
        <x:v>hp</x:v>
      </x:c>
      <x:c r="M7" s="18" t="str">
        <x:v>propulsive efficiency benefit</x:v>
      </x:c>
      <x:c r="N7" s="18" t="str">
        <x:v>ground rig→captive/flight</x:v>
      </x:c>
      <x:c r="O7" s="18" t="str">
        <x:v>TP research precedes jet product</x:v>
      </x:c>
      <x:c r="P7" s="18" t="str">
        <x:v>DERIVED-WORKING</x:v>
      </x:c>
      <x:c r="Q7" s="18" t="str">
        <x:v>light gearbox/governor</x:v>
      </x:c>
    </x:row>
    <x:row r="8">
      <x:c r="A8" t="str">
        <x:v>E3-MR</x:v>
      </x:c>
      <x:c r="B8" t="str">
        <x:v>1928–31</x:v>
      </x:c>
      <x:c r="C8" t="str">
        <x:v>E3</x:v>
      </x:c>
      <x:c r="D8" t="str">
        <x:v>small</x:v>
      </x:c>
      <x:c r="E8" t="str">
        <x:v>free turbine + gear</x:v>
      </x:c>
      <x:c r="F8" t="str">
        <x:v>C</x:v>
      </x:c>
      <x:c r="G8" t="str">
        <x:v>marine research</x:v>
      </x:c>
      <x:c r="H8" t="str">
        <x:v>R2</x:v>
      </x:c>
      <x:c r="I8" s="18" t="str">
        <x:v>shaft hp</x:v>
      </x:c>
      <x:c r="J8" s="44" t="n">
        <x:f>'03_SHAFT_ENVELOPE'!L6/0.7457*'02_RATING_MODEL'!B13</x:f>
        <x:v>344.9666085557194</x:v>
      </x:c>
      <x:c r="K8" s="44" t="n">
        <x:f>'03_SHAFT_ENVELOPE'!K6/0.7457*'02_RATING_MODEL'!B13</x:f>
        <x:v>368.75740914576903</x:v>
      </x:c>
      <x:c r="L8" s="18" t="str">
        <x:v>hp</x:v>
      </x:c>
      <x:c r="M8" s="18" t="str">
        <x:v>salt/gear not yet closed</x:v>
      </x:c>
      <x:c r="N8" s="18" t="str">
        <x:v>reduction/load rig</x:v>
      </x:c>
      <x:c r="O8" s="18" t="str">
        <x:v>marine drives gear &amp; scale work</x:v>
      </x:c>
      <x:c r="P8" s="18" t="str">
        <x:v>DERIVED-WORKING</x:v>
      </x:c>
      <x:c r="Q8" s="18" t="str">
        <x:v>reverse/clutch/salt</x:v>
      </x:c>
    </x:row>
    <x:row r="9">
      <x:c r="A9" t="str">
        <x:v>E4-GS</x:v>
      </x:c>
      <x:c r="B9" t="str">
        <x:v>1931–34</x:v>
      </x:c>
      <x:c r="C9" t="str">
        <x:v>E4</x:v>
      </x:c>
      <x:c r="D9" t="str">
        <x:v>S 6.7</x:v>
      </x:c>
      <x:c r="E9" t="str">
        <x:v>simple shaft</x:v>
      </x:c>
      <x:c r="F9" t="str">
        <x:v>N/H</x:v>
      </x:c>
      <x:c r="G9" t="str">
        <x:v>stationary/process</x:v>
      </x:c>
      <x:c r="H9" t="str">
        <x:v>P</x:v>
      </x:c>
      <x:c r="I9" s="18" t="str">
        <x:v>shaft output</x:v>
      </x:c>
      <x:c r="J9" s="44" t="n">
        <x:f>'03_SHAFT_ENVELOPE'!K8</x:f>
        <x:v>471.699162</x:v>
      </x:c>
      <x:c r="K9" s="44" t="n">
        <x:f>'03_SHAFT_ENVELOPE'!H8</x:f>
        <x:v>507.2034</x:v>
      </x:c>
      <x:c r="L9" s="18" t="str">
        <x:v>kW</x:v>
      </x:c>
      <x:c r="M9" s="18" t="str">
        <x:v>SFC ~0.557 kg/kWh at simple authority point</x:v>
      </x:c>
      <x:c r="N9" s="18" t="str">
        <x:v>normal→high</x:v>
      </x:c>
      <x:c r="O9" s="18" t="str">
        <x:v>first sellable independent GT</x:v>
      </x:c>
      <x:c r="P9" s="18" t="str">
        <x:v>FIXED+DERIVED</x:v>
      </x:c>
      <x:c r="Q9" s="18" t="str">
        <x:v>cost vs diesel/steam</x:v>
      </x:c>
    </x:row>
    <x:row r="10">
      <x:c r="A10" t="str">
        <x:v>E4-GR</x:v>
      </x:c>
      <x:c r="B10" t="str">
        <x:v>1931–35</x:v>
      </x:c>
      <x:c r="C10" t="str">
        <x:v>E4</x:v>
      </x:c>
      <x:c r="D10" t="str">
        <x:v>S 6.7</x:v>
      </x:c>
      <x:c r="E10" t="str">
        <x:v>regenerated shaft</x:v>
      </x:c>
      <x:c r="F10" t="str">
        <x:v>C/L</x:v>
      </x:c>
      <x:c r="G10" t="str">
        <x:v>stationary long-duty</x:v>
      </x:c>
      <x:c r="H10" t="str">
        <x:v>P-limited</x:v>
      </x:c>
      <x:c r="I10" s="18" t="str">
        <x:v>shaft output</x:v>
      </x:c>
      <x:c r="J10" s="44" t="n">
        <x:f>K10*'02_RATING_MODEL'!C6/'02_RATING_MODEL'!C5</x:f>
        <x:v>437.5258064516129</x:v>
      </x:c>
      <x:c r="K10" s="44" t="n">
        <x:v>467.7</x:v>
      </x:c>
      <x:c r="L10" s="18" t="str">
        <x:v>kW</x:v>
      </x:c>
      <x:c r="M10" s="18" t="str">
        <x:v>SFC authority 0.433 kg/kWh; regenerator +0.6–1.1 t</x:v>
      </x:c>
      <x:c r="N10" s="18" t="str">
        <x:v>continuous/long-life</x:v>
      </x:c>
      <x:c r="O10" s="18" t="str">
        <x:v>weight acceptable; fuel economy valuable</x:v>
      </x:c>
      <x:c r="P10" s="18" t="str">
        <x:v>FIXED-UPSTREAM</x:v>
      </x:c>
      <x:c r="Q10" s="18" t="str">
        <x:v>regenerator durability/fouling</x:v>
      </x:c>
    </x:row>
    <x:row r="11">
      <x:c r="A11" t="str">
        <x:v>E4-TPA</x:v>
      </x:c>
      <x:c r="B11" t="str">
        <x:v>1931–34</x:v>
      </x:c>
      <x:c r="C11" t="str">
        <x:v>E4</x:v>
      </x:c>
      <x:c r="D11" t="str">
        <x:v>S 6.7</x:v>
      </x:c>
      <x:c r="E11" t="str">
        <x:v>TP</x:v>
      </x:c>
      <x:c r="F11" t="str">
        <x:v>N/H</x:v>
      </x:c>
      <x:c r="G11" t="str">
        <x:v>aviation demonstrator</x:v>
      </x:c>
      <x:c r="H11" t="str">
        <x:v>R2/P-limited</x:v>
      </x:c>
      <x:c r="I11" s="18" t="str">
        <x:v>shaft hp</x:v>
      </x:c>
      <x:c r="J11" s="44" t="n">
        <x:v>630</x:v>
      </x:c>
      <x:c r="K11" s="44" t="n">
        <x:v>700</x:v>
      </x:c>
      <x:c r="L11" s="18" t="str">
        <x:v>hp</x:v>
      </x:c>
      <x:c r="M11" s="18" t="str">
        <x:v>installed prop absorption separate</x:v>
      </x:c>
      <x:c r="N11" s="18" t="str">
        <x:v>~630 normal / ~680–700 high candidate</x:v>
      </x:c>
      <x:c r="O11" s="18" t="str">
        <x:v>useful aviation before jet becomes practical</x:v>
      </x:c>
      <x:c r="P11" s="18" t="str">
        <x:v>MIXED</x:v>
      </x:c>
      <x:c r="Q11" s="18" t="str">
        <x:v>gear mass/prop absorption</x:v>
      </x:c>
    </x:row>
    <x:row r="12">
      <x:c r="A12" t="str">
        <x:v>E4-JA</x:v>
      </x:c>
      <x:c r="B12" t="str">
        <x:v>1932–34</x:v>
      </x:c>
      <x:c r="C12" t="str">
        <x:v>E4</x:v>
      </x:c>
      <x:c r="D12" t="str">
        <x:v>S 6.7–7.2</x:v>
      </x:c>
      <x:c r="E12" t="str">
        <x:v>pure jet</x:v>
      </x:c>
      <x:c r="F12" t="str">
        <x:v>H</x:v>
      </x:c>
      <x:c r="G12" t="str">
        <x:v>aviation demonstrator</x:v>
      </x:c>
      <x:c r="H12" t="str">
        <x:v>P-demonstrator</x:v>
      </x:c>
      <x:c r="I12" s="18" t="str">
        <x:v>static thrust</x:v>
      </x:c>
      <x:c r="J12" s="44" t="n">
        <x:v>300</x:v>
      </x:c>
      <x:c r="K12" s="44" t="n">
        <x:v>330</x:v>
      </x:c>
      <x:c r="L12" s="18" t="str">
        <x:v>kgf</x:v>
      </x:c>
      <x:c r="M12" s="18" t="str">
        <x:v>TSFC ~1.0–1.15 working</x:v>
      </x:c>
      <x:c r="N12" s="18" t="str">
        <x:v>short-duration</x:v>
      </x:c>
      <x:c r="O12" s="18" t="str">
        <x:v>噴一号/噴二号 engine module</x:v>
      </x:c>
      <x:c r="P12" s="18" t="str">
        <x:v>MIXED</x:v>
      </x:c>
      <x:c r="Q12" s="18" t="str">
        <x:v>installed jet audit</x:v>
      </x:c>
    </x:row>
    <x:row r="13">
      <x:c r="A13" t="str">
        <x:v>E4-MC</x:v>
      </x:c>
      <x:c r="B13" t="str">
        <x:v>1932–35</x:v>
      </x:c>
      <x:c r="C13" t="str">
        <x:v>E4</x:v>
      </x:c>
      <x:c r="D13" t="str">
        <x:v>S 6.7</x:v>
      </x:c>
      <x:c r="E13" t="str">
        <x:v>shaft/free turbine</x:v>
      </x:c>
      <x:c r="F13" t="str">
        <x:v>C/N</x:v>
      </x:c>
      <x:c r="G13" t="str">
        <x:v>small craft/aux marine</x:v>
      </x:c>
      <x:c r="H13" t="str">
        <x:v>P-limited</x:v>
      </x:c>
      <x:c r="I13" s="18" t="str">
        <x:v>shaft hp</x:v>
      </x:c>
      <x:c r="J13" s="44" t="n">
        <x:f>'03_SHAFT_ENVELOPE'!L8/0.7457*'02_RATING_MODEL'!B13</x:f>
        <x:v>568.0786907335389</x:v>
      </x:c>
      <x:c r="K13" s="44" t="n">
        <x:f>'03_SHAFT_ENVELOPE'!K8/0.7457*'02_RATING_MODEL'!B13</x:f>
        <x:v>607.256531473783</x:v>
      </x:c>
      <x:c r="L13" s="18" t="str">
        <x:v>hp</x:v>
      </x:c>
      <x:c r="M13" s="18" t="str">
        <x:v>lower-TIT continuous preferred</x:v>
      </x:c>
      <x:c r="N13" s="18" t="str">
        <x:v>continuous→normal</x:v>
      </x:c>
      <x:c r="O13" s="18" t="str">
        <x:v>marine endurance/gear data</x:v>
      </x:c>
      <x:c r="P13" s="18" t="str">
        <x:v>DERIVED-WORKING</x:v>
      </x:c>
      <x:c r="Q13" s="18" t="str">
        <x:v>salt, reversing, gearbox</x:v>
      </x:c>
    </x:row>
    <x:row r="14">
      <x:c r="A14" t="str">
        <x:v>E5-GC</x:v>
      </x:c>
      <x:c r="B14" t="str">
        <x:v>1935–38</x:v>
      </x:c>
      <x:c r="C14" t="str">
        <x:v>E5</x:v>
      </x:c>
      <x:c r="D14" t="str">
        <x:v>S 7.6</x:v>
      </x:c>
      <x:c r="E14" t="str">
        <x:v>simple/regenerated shaft</x:v>
      </x:c>
      <x:c r="F14" t="str">
        <x:v>C/L</x:v>
      </x:c>
      <x:c r="G14" t="str">
        <x:v>generator/process</x:v>
      </x:c>
      <x:c r="H14" t="str">
        <x:v>P</x:v>
      </x:c>
      <x:c r="I14" s="18" t="str">
        <x:v>shaft output</x:v>
      </x:c>
      <x:c r="J14" s="44" t="n">
        <x:f>'03_SHAFT_ENVELOPE'!M10</x:f>
        <x:v>605.2031999999999</x:v>
      </x:c>
      <x:c r="K14" s="44" t="n">
        <x:f>'03_SHAFT_ENVELOPE'!L10</x:f>
        <x:v>658.1584799999999</x:v>
      </x:c>
      <x:c r="L14" s="18" t="str">
        <x:v>kW</x:v>
      </x:c>
      <x:c r="M14" s="18" t="str">
        <x:v>simple ~0.45–0.48 kg/kWh working; regen branch better</x:v>
      </x:c>
      <x:c r="N14" s="18" t="str">
        <x:v>long-life→continuous</x:v>
      </x:c>
      <x:c r="O14" s="18" t="str">
        <x:v>low-temperature long-overhaul product</x:v>
      </x:c>
      <x:c r="P14" s="18" t="str">
        <x:v>DERIVED-WORKING</x:v>
      </x:c>
      <x:c r="Q14" s="18" t="str">
        <x:v>regen economics/TBO</x:v>
      </x:c>
    </x:row>
    <x:row r="15">
      <x:c r="A15" t="str">
        <x:v>E5-VR</x:v>
      </x:c>
      <x:c r="B15" t="str">
        <x:v>1935–38</x:v>
      </x:c>
      <x:c r="C15" t="str">
        <x:v>E5</x:v>
      </x:c>
      <x:c r="D15" t="str">
        <x:v>S 7.6</x:v>
      </x:c>
      <x:c r="E15" t="str">
        <x:v>shaft</x:v>
      </x:c>
      <x:c r="F15" t="str">
        <x:v>L/C</x:v>
      </x:c>
      <x:c r="G15" t="str">
        <x:v>vehicle mule</x:v>
      </x:c>
      <x:c r="H15" t="str">
        <x:v>R2</x:v>
      </x:c>
      <x:c r="I15" s="18" t="str">
        <x:v>shaft hp</x:v>
      </x:c>
      <x:c r="J15" s="44" t="n">
        <x:f>'03_SHAFT_ENVELOPE'!M10/0.7457*'02_RATING_MODEL'!B18</x:f>
        <x:v>633.0407617004156</x:v>
      </x:c>
      <x:c r="K15" s="44" t="n">
        <x:f>'03_SHAFT_ENVELOPE'!L10/0.7457*'02_RATING_MODEL'!B18</x:f>
        <x:v>688.431828349202</x:v>
      </x:c>
      <x:c r="L15" s="18" t="str">
        <x:v>hp</x:v>
      </x:c>
      <x:c r="M15" s="18" t="str">
        <x:v>part-load poor; filtration burden</x:v>
      </x:c>
      <x:c r="N15" s="18" t="str">
        <x:v>de-rated</x:v>
      </x:c>
      <x:c r="O15" s="18" t="str">
        <x:v>tests compact high-power drivetrain</x:v>
      </x:c>
      <x:c r="P15" s="18" t="str">
        <x:v>DERIVED-WORKING</x:v>
      </x:c>
      <x:c r="Q15" s="18" t="str">
        <x:v>dust/filter/transmission/fuel</x:v>
      </x:c>
    </x:row>
    <x:row r="16">
      <x:c r="A16" t="str">
        <x:v>E5-TPN</x:v>
      </x:c>
      <x:c r="B16" t="str">
        <x:v>1935–38</x:v>
      </x:c>
      <x:c r="C16" t="str">
        <x:v>E5</x:v>
      </x:c>
      <x:c r="D16" t="str">
        <x:v>S 7.6–8.1</x:v>
      </x:c>
      <x:c r="E16" t="str">
        <x:v>TP</x:v>
      </x:c>
      <x:c r="F16" t="str">
        <x:v>N/H</x:v>
      </x:c>
      <x:c r="G16" t="str">
        <x:v>aviation</x:v>
      </x:c>
      <x:c r="H16" t="str">
        <x:v>P</x:v>
      </x:c>
      <x:c r="I16" s="18" t="str">
        <x:v>shaft hp</x:v>
      </x:c>
      <x:c r="J16" s="44" t="n">
        <x:v>952</x:v>
      </x:c>
      <x:c r="K16" s="44" t="n">
        <x:v>1063</x:v>
      </x:c>
      <x:c r="L16" s="18" t="str">
        <x:v>hp</x:v>
      </x:c>
      <x:c r="M16" s="18" t="str">
        <x:v>mass/prop absorption separate</x:v>
      </x:c>
      <x:c r="N16" s="18" t="str">
        <x:v>non-Ni mass-production→Ni/high-end</x:v>
      </x:c>
      <x:c r="O16" s="18" t="str">
        <x:v>practical TP family</x:v>
      </x:c>
      <x:c r="P16" s="18" t="str">
        <x:v>FIXED-UPSTREAM</x:v>
      </x:c>
      <x:c r="Q16" s="18" t="str">
        <x:v>installed mass/prop map</x:v>
      </x:c>
    </x:row>
    <x:row r="17">
      <x:c r="A17" t="str">
        <x:v>E5-J</x:v>
      </x:c>
      <x:c r="B17" t="str">
        <x:v>1936–38</x:v>
      </x:c>
      <x:c r="C17" t="str">
        <x:v>E5</x:v>
      </x:c>
      <x:c r="D17" t="str">
        <x:v>S high-flow 8.4</x:v>
      </x:c>
      <x:c r="E17" t="str">
        <x:v>pure jet</x:v>
      </x:c>
      <x:c r="F17" t="str">
        <x:v>H</x:v>
      </x:c>
      <x:c r="G17" t="str">
        <x:v>high-speed aviation</x:v>
      </x:c>
      <x:c r="H17" t="str">
        <x:v>P-limited</x:v>
      </x:c>
      <x:c r="I17" s="18" t="str">
        <x:v>static thrust</x:v>
      </x:c>
      <x:c r="J17" s="44" t="n">
        <x:v>430</x:v>
      </x:c>
      <x:c r="K17" s="44" t="n">
        <x:v>470</x:v>
      </x:c>
      <x:c r="L17" s="18" t="str">
        <x:v>kgf</x:v>
      </x:c>
      <x:c r="M17" s="18" t="str">
        <x:v>installed TSFC OPEN</x:v>
      </x:c>
      <x:c r="N17" s="18" t="str">
        <x:v>high-flow short/high</x:v>
      </x:c>
      <x:c r="O17" s="18" t="str">
        <x:v>military joint high-speed/recon tests</x:v>
      </x:c>
      <x:c r="P17" s="18" t="str">
        <x:v>FIXED-SHADOW</x:v>
      </x:c>
      <x:c r="Q17" s="18" t="str">
        <x:v>dedicated installed audit</x:v>
      </x:c>
    </x:row>
    <x:row r="18">
      <x:c r="A18" t="str">
        <x:v>E5-AF</x:v>
      </x:c>
      <x:c r="B18" t="str">
        <x:v>1936–38</x:v>
      </x:c>
      <x:c r="C18" t="str">
        <x:v>E5</x:v>
      </x:c>
      <x:c r="D18" t="str">
        <x:v>S</x:v>
      </x:c>
      <x:c r="E18" t="str">
        <x:v>aft/out fan</x:v>
      </x:c>
      <x:c r="F18" t="str">
        <x:v>N/H</x:v>
      </x:c>
      <x:c r="G18" t="str">
        <x:v>aviation</x:v>
      </x:c>
      <x:c r="H18" t="str">
        <x:v>R2 flight audit</x:v>
      </x:c>
      <x:c r="I18" s="18" t="str">
        <x:v>static thrust</x:v>
      </x:c>
      <x:c r="J18" s="44" t="n">
        <x:f>430*'02_RATING_MODEL'!B17</x:f>
        <x:v>516</x:v>
      </x:c>
      <x:c r="K18" s="44" t="n">
        <x:f>470*'02_RATING_MODEL'!B17</x:f>
        <x:v>564</x:v>
      </x:c>
      <x:c r="L18" s="18" t="str">
        <x:v>kgf</x:v>
      </x:c>
      <x:c r="M18" s="18" t="str">
        <x:v>working: pure ×~1.18–1.22; mass/drag OPEN</x:v>
      </x:c>
      <x:c r="N18" s="18" t="str">
        <x:v>flight package audit</x:v>
      </x:c>
      <x:c r="O18" s="18" t="str">
        <x:v>tests whether fan gain beats weight/frontal area</x:v>
      </x:c>
      <x:c r="P18" s="18" t="str">
        <x:v>DERIVED-OPEN</x:v>
      </x:c>
      <x:c r="Q18" s="18" t="str">
        <x:v>fan mass/diameter/TSFC/drag</x:v>
      </x:c>
    </x:row>
    <x:row r="19">
      <x:c r="A19" t="str">
        <x:v>E5-MC</x:v>
      </x:c>
      <x:c r="B19" t="str">
        <x:v>1935–38</x:v>
      </x:c>
      <x:c r="C19" t="str">
        <x:v>E5</x:v>
      </x:c>
      <x:c r="D19" t="str">
        <x:v>S 7.6</x:v>
      </x:c>
      <x:c r="E19" t="str">
        <x:v>shaft/free turbine</x:v>
      </x:c>
      <x:c r="F19" t="str">
        <x:v>C/L</x:v>
      </x:c>
      <x:c r="G19" t="str">
        <x:v>marine continuous</x:v>
      </x:c>
      <x:c r="H19" t="str">
        <x:v>P-limited</x:v>
      </x:c>
      <x:c r="I19" s="18" t="str">
        <x:v>shaft hp</x:v>
      </x:c>
      <x:c r="J19" s="44" t="n">
        <x:f>'03_SHAFT_ENVELOPE'!M10/0.7457*'02_RATING_MODEL'!B13</x:f>
        <x:v>779.1270913235884</x:v>
      </x:c>
      <x:c r="K19" s="44" t="n">
        <x:f>'03_SHAFT_ENVELOPE'!L10/0.7457*'02_RATING_MODEL'!B13</x:f>
        <x:v>847.3007118144023</x:v>
      </x:c>
      <x:c r="L19" s="18" t="str">
        <x:v>hp</x:v>
      </x:c>
      <x:c r="M19" s="18" t="str">
        <x:v>intentionally low-TIT</x:v>
      </x:c>
      <x:c r="N19" s="18" t="str">
        <x:v>long-life→continuous</x:v>
      </x:c>
      <x:c r="O19" s="18" t="str">
        <x:v>small craft / auxiliary / endurance use</x:v>
      </x:c>
      <x:c r="P19" s="18" t="str">
        <x:v>DERIVED-WORKING</x:v>
      </x:c>
      <x:c r="Q19" s="18" t="str">
        <x:v>salt/gear/TBO</x:v>
      </x:c>
    </x:row>
    <x:row r="20">
      <x:c r="A20" t="str">
        <x:v>E5-MS</x:v>
      </x:c>
      <x:c r="B20" t="str">
        <x:v>1935–38</x:v>
      </x:c>
      <x:c r="C20" t="str">
        <x:v>E5</x:v>
      </x:c>
      <x:c r="D20" t="str">
        <x:v>S 7.6–8.1</x:v>
      </x:c>
      <x:c r="E20" t="str">
        <x:v>shaft/free turbine</x:v>
      </x:c>
      <x:c r="F20" t="str">
        <x:v>H/N</x:v>
      </x:c>
      <x:c r="G20" t="str">
        <x:v>marine boost</x:v>
      </x:c>
      <x:c r="H20" t="str">
        <x:v>P-limited</x:v>
      </x:c>
      <x:c r="I20" s="18" t="str">
        <x:v>shaft hp</x:v>
      </x:c>
      <x:c r="J20" s="44" t="n">
        <x:v>950</x:v>
      </x:c>
      <x:c r="K20" s="44" t="n">
        <x:v>1060</x:v>
      </x:c>
      <x:c r="L20" s="18" t="str">
        <x:v>hp</x:v>
      </x:c>
      <x:c r="M20" s="18" t="str">
        <x:v>short rating</x:v>
      </x:c>
      <x:c r="N20" s="18" t="str">
        <x:v>minutes→normal</x:v>
      </x:c>
      <x:c r="O20" s="18" t="str">
        <x:v>shows S-scale ceiling</x:v>
      </x:c>
      <x:c r="P20" s="18" t="str">
        <x:v>MIXED</x:v>
      </x:c>
      <x:c r="Q20" s="18" t="str">
        <x:v>9+ kg/s demand triggers next scale</x:v>
      </x:c>
    </x:row>
    <x:row r="21">
      <x:c r="A21" t="str">
        <x:v>E5-MR2</x:v>
      </x:c>
      <x:c r="B21" t="str">
        <x:v>1936–38</x:v>
      </x:c>
      <x:c r="C21" t="str">
        <x:v>E5</x:v>
      </x:c>
      <x:c r="D21" t="str">
        <x:v>M precursor 9–12</x:v>
      </x:c>
      <x:c r="E21" t="str">
        <x:v>shaft core</x:v>
      </x:c>
      <x:c r="F21" t="str">
        <x:v>H/N</x:v>
      </x:c>
      <x:c r="G21" t="str">
        <x:v>marine/large-load research</x:v>
      </x:c>
      <x:c r="H21" t="str">
        <x:v>R2</x:v>
      </x:c>
      <x:c r="I21" s="18" t="str">
        <x:v>shaft hp</x:v>
      </x:c>
      <x:c r="J21" s="44" t="n">
        <x:f>'03_SHAFT_ENVELOPE'!K12/0.7457</x:f>
        <x:v>1427.6254525948773</x:v>
      </x:c>
      <x:c r="K21" s="44" t="n">
        <x:f>'03_SHAFT_ENVELOPE'!I12</x:f>
        <x:v>1535.0811318224487</x:v>
      </x:c>
      <x:c r="L21" s="18" t="str">
        <x:v>hp</x:v>
      </x:c>
      <x:c r="M21" s="18" t="str">
        <x:v>not a product</x:v>
      </x:c>
      <x:c r="N21" s="18" t="str">
        <x:v>full hot experimental</x:v>
      </x:c>
      <x:c r="O21" s="18" t="str">
        <x:v>scale-demand precursor to E6-M</x:v>
      </x:c>
      <x:c r="P21" s="18" t="str">
        <x:v>DERIVED-WORKING</x:v>
      </x:c>
      <x:c r="Q21" s="18" t="str">
        <x:v>disk/shaft/casing/combustor/test stand</x:v>
      </x:c>
    </x:row>
    <x:row r="22">
      <x:c r="A22" t="str">
        <x:v>E6-S</x:v>
      </x:c>
      <x:c r="B22" t="str">
        <x:v>1938–41</x:v>
      </x:c>
      <x:c r="C22" t="str">
        <x:v>E6</x:v>
      </x:c>
      <x:c r="D22" t="str">
        <x:v>S 7.8</x:v>
      </x:c>
      <x:c r="E22" t="str">
        <x:v>shaft</x:v>
      </x:c>
      <x:c r="F22" t="str">
        <x:v>N/H</x:v>
      </x:c>
      <x:c r="G22" t="str">
        <x:v>aviation/marine/ground</x:v>
      </x:c>
      <x:c r="H22" t="str">
        <x:v>P</x:v>
      </x:c>
      <x:c r="I22" s="18" t="str">
        <x:v>shaft hp</x:v>
      </x:c>
      <x:c r="J22" s="44" t="n">
        <x:v>1300</x:v>
      </x:c>
      <x:c r="K22" s="44" t="n">
        <x:v>1500</x:v>
      </x:c>
      <x:c r="L22" s="18" t="str">
        <x:v>hp</x:v>
      </x:c>
      <x:c r="M22" s="18" t="str">
        <x:v>non-Ni→Ni</x:v>
      </x:c>
      <x:c r="N22" s="18" t="str">
        <x:v>standard high-output</x:v>
      </x:c>
      <x:c r="O22" s="18" t="str">
        <x:v>small-core mature product</x:v>
      </x:c>
      <x:c r="P22" s="18" t="str">
        <x:v>FIXED-UPSTREAM</x:v>
      </x:c>
      <x:c r="Q22" s="18" t="str">
        <x:v>application integration</x:v>
      </x:c>
    </x:row>
    <x:row r="23">
      <x:c r="A23" t="str">
        <x:v>E6-M-L</x:v>
      </x:c>
      <x:c r="B23" t="str">
        <x:v>1938–41</x:v>
      </x:c>
      <x:c r="C23" t="str">
        <x:v>E6</x:v>
      </x:c>
      <x:c r="D23" t="str">
        <x:v>M 13.2</x:v>
      </x:c>
      <x:c r="E23" t="str">
        <x:v>shaft</x:v>
      </x:c>
      <x:c r="F23" t="str">
        <x:v>L</x:v>
      </x:c>
      <x:c r="G23" t="str">
        <x:v>transport/generator</x:v>
      </x:c>
      <x:c r="H23" t="str">
        <x:v>P</x:v>
      </x:c>
      <x:c r="I23" s="18" t="str">
        <x:v>shaft hp</x:v>
      </x:c>
      <x:c r="J23" s="44" t="n">
        <x:v>1870</x:v>
      </x:c>
      <x:c r="K23" s="44" t="n">
        <x:v>1870</x:v>
      </x:c>
      <x:c r="L23" s="18" t="str">
        <x:v>hp</x:v>
      </x:c>
      <x:c r="M23" s="18" t="str">
        <x:v>long-life derate</x:v>
      </x:c>
      <x:c r="N23" s="18" t="str">
        <x:v>low-TIT/long-life</x:v>
      </x:c>
      <x:c r="O23" s="18" t="str">
        <x:v>same generation used below thermal ceiling</x:v>
      </x:c>
      <x:c r="P23" s="18" t="str">
        <x:v>FIXED-UPSTREAM</x:v>
      </x:c>
      <x:c r="Q23" s="18" t="str">
        <x:v>TBO/application</x:v>
      </x:c>
    </x:row>
    <x:row r="24">
      <x:c r="A24" t="str">
        <x:v>E6-M-N</x:v>
      </x:c>
      <x:c r="B24" t="str">
        <x:v>1938–41</x:v>
      </x:c>
      <x:c r="C24" t="str">
        <x:v>E6</x:v>
      </x:c>
      <x:c r="D24" t="str">
        <x:v>M 13.2</x:v>
      </x:c>
      <x:c r="E24" t="str">
        <x:v>shaft</x:v>
      </x:c>
      <x:c r="F24" t="str">
        <x:v>N/C</x:v>
      </x:c>
      <x:c r="G24" t="str">
        <x:v>marine/TP input</x:v>
      </x:c>
      <x:c r="H24" t="str">
        <x:v>P</x:v>
      </x:c>
      <x:c r="I24" s="18" t="str">
        <x:v>shaft hp</x:v>
      </x:c>
      <x:c r="J24" s="44" t="n">
        <x:v>2000</x:v>
      </x:c>
      <x:c r="K24" s="44" t="n">
        <x:v>2100</x:v>
      </x:c>
      <x:c r="L24" s="18" t="str">
        <x:v>hp</x:v>
      </x:c>
      <x:c r="M24" s="18" t="str">
        <x:v>continuous/qualified</x:v>
      </x:c>
      <x:c r="N24" s="18" t="str">
        <x:v>normal continuous</x:v>
      </x:c>
      <x:c r="O24" s="18" t="str">
        <x:v>main 2,000 hp-class module</x:v>
      </x:c>
      <x:c r="P24" s="18" t="str">
        <x:v>FIXED-UPSTREAM</x:v>
      </x:c>
      <x:c r="Q24" s="18" t="str">
        <x:v>gear/prop/marine install</x:v>
      </x:c>
    </x:row>
    <x:row r="25">
      <x:c r="A25" t="str">
        <x:v>E6-M-H</x:v>
      </x:c>
      <x:c r="B25" t="str">
        <x:v>1938–41</x:v>
      </x:c>
      <x:c r="C25" t="str">
        <x:v>E6</x:v>
      </x:c>
      <x:c r="D25" t="str">
        <x:v>M 13.2</x:v>
      </x:c>
      <x:c r="E25" t="str">
        <x:v>shaft</x:v>
      </x:c>
      <x:c r="F25" t="str">
        <x:v>H</x:v>
      </x:c>
      <x:c r="G25" t="str">
        <x:v>marine short</x:v>
      </x:c>
      <x:c r="H25" t="str">
        <x:v>P-candidate</x:v>
      </x:c>
      <x:c r="I25" s="18" t="str">
        <x:v>shaft hp</x:v>
      </x:c>
      <x:c r="J25" s="44" t="n">
        <x:v>2250</x:v>
      </x:c>
      <x:c r="K25" s="44" t="n">
        <x:v>2300</x:v>
      </x:c>
      <x:c r="L25" s="18" t="str">
        <x:v>hp</x:v>
      </x:c>
      <x:c r="M25" s="18" t="str">
        <x:v>short rating</x:v>
      </x:c>
      <x:c r="N25" s="18" t="str">
        <x:v>boost</x:v>
      </x:c>
      <x:c r="O25" s="18" t="str">
        <x:v>short-duration upper rating</x:v>
      </x:c>
      <x:c r="P25" s="18" t="str">
        <x:v>FIXED-SHADOW</x:v>
      </x:c>
      <x:c r="Q25" s="18" t="str">
        <x:v>marine installation gate</x:v>
      </x:c>
    </x:row>
    <x:row r="26">
      <x:c r="A26" t="str">
        <x:v>E6-GM</x:v>
      </x:c>
      <x:c r="B26" t="str">
        <x:v>1939–41</x:v>
      </x:c>
      <x:c r="C26" t="str">
        <x:v>E6</x:v>
      </x:c>
      <x:c r="D26" t="str">
        <x:v>M 13.2</x:v>
      </x:c>
      <x:c r="E26" t="str">
        <x:v>shaft + generator</x:v>
      </x:c>
      <x:c r="F26" t="str">
        <x:v>L</x:v>
      </x:c>
      <x:c r="G26" t="str">
        <x:v>stationary generation</x:v>
      </x:c>
      <x:c r="H26" t="str">
        <x:v>P-candidate</x:v>
      </x:c>
      <x:c r="I26" s="18" t="str">
        <x:v>electric output</x:v>
      </x:c>
      <x:c r="J26" s="44" t="n">
        <x:f>1870*0.7457*'02_RATING_MODEL'!B12*0.95</x:f>
        <x:v>1258.4992475</x:v>
      </x:c>
      <x:c r="K26" s="44" t="n">
        <x:f>1870*0.7457*'02_RATING_MODEL'!B12</x:f>
        <x:v>1324.73605</x:v>
      </x:c>
      <x:c r="L26" s="18" t="str">
        <x:v>kWe</x:v>
      </x:c>
      <x:c r="M26" s="18" t="str">
        <x:v>~95% generator assumed; long-life shaft parent 1,870 hp</x:v>
      </x:c>
      <x:c r="N26" s="18" t="str">
        <x:v>base-load/long-life</x:v>
      </x:c>
      <x:c r="O26" s="18" t="str">
        <x:v>large long-overhaul genset</x:v>
      </x:c>
      <x:c r="P26" s="18" t="str">
        <x:v>DERIVED from FIXED</x:v>
      </x:c>
      <x:c r="Q26" s="18" t="str">
        <x:v>generator/regen economics</x:v>
      </x:c>
    </x:row>
    <x:row r="27">
      <x:c r="A27" t="str">
        <x:v>E6-MJ</x:v>
      </x:c>
      <x:c r="B27" t="str">
        <x:v>1938–41</x:v>
      </x:c>
      <x:c r="C27" t="str">
        <x:v>E6</x:v>
      </x:c>
      <x:c r="D27" t="str">
        <x:v>M 13.2</x:v>
      </x:c>
      <x:c r="E27" t="str">
        <x:v>pure jet</x:v>
      </x:c>
      <x:c r="F27" t="str">
        <x:v>H/N</x:v>
      </x:c>
      <x:c r="G27" t="str">
        <x:v>aviation</x:v>
      </x:c>
      <x:c r="H27" t="str">
        <x:v>P</x:v>
      </x:c>
      <x:c r="I27" s="18" t="str">
        <x:v>static thrust</x:v>
      </x:c>
      <x:c r="J27" s="44" t="n">
        <x:v>850</x:v>
      </x:c>
      <x:c r="K27" s="44" t="n">
        <x:v>900</x:v>
      </x:c>
      <x:c r="L27" s="18" t="str">
        <x:v>kgf</x:v>
      </x:c>
      <x:c r="M27" s="18" t="str">
        <x:v>TSFC 0.785 at 835C long-life reference</x:v>
      </x:c>
      <x:c r="N27" s="18" t="str">
        <x:v>non-Ni→Ni</x:v>
      </x:c>
      <x:c r="O27" s="18" t="str">
        <x:v>operational pure-jet family</x:v>
      </x:c>
      <x:c r="P27" s="18" t="str">
        <x:v>FIXED-UPSTREAM</x:v>
      </x:c>
      <x:c r="Q27" s="18" t="str">
        <x:v>airframe inlet/altitude map</x:v>
      </x:c>
    </x:row>
    <x:row r="28">
      <x:c r="A28" t="str">
        <x:v>E6-MF</x:v>
      </x:c>
      <x:c r="B28" t="str">
        <x:v>1938–41</x:v>
      </x:c>
      <x:c r="C28" t="str">
        <x:v>E6</x:v>
      </x:c>
      <x:c r="D28" t="str">
        <x:v>M 13.2</x:v>
      </x:c>
      <x:c r="E28" t="str">
        <x:v>aft fan</x:v>
      </x:c>
      <x:c r="F28" t="str">
        <x:v>N/H</x:v>
      </x:c>
      <x:c r="G28" t="str">
        <x:v>aviation</x:v>
      </x:c>
      <x:c r="H28" t="str">
        <x:v>P</x:v>
      </x:c>
      <x:c r="I28" s="18" t="str">
        <x:v>static thrust</x:v>
      </x:c>
      <x:c r="J28" s="44" t="n">
        <x:v>950</x:v>
      </x:c>
      <x:c r="K28" s="44" t="n">
        <x:v>1000</x:v>
      </x:c>
      <x:c r="L28" s="18" t="str">
        <x:v>kgf</x:v>
      </x:c>
      <x:c r="M28" s="18" t="str">
        <x:v>BPR~1/FPR~1.30; pure ref TSFC -17.3%</x:v>
      </x:c>
      <x:c r="N28" s="18" t="str">
        <x:v>product</x:v>
      </x:c>
      <x:c r="O28" s="18" t="str">
        <x:v>usable fighter/mission fan</x:v>
      </x:c>
      <x:c r="P28" s="18" t="str">
        <x:v>FIXED-UPSTREAM</x:v>
      </x:c>
      <x:c r="Q28" s="18" t="str">
        <x:v>airframe package</x:v>
      </x:c>
    </x:row>
    <x:row r="29">
      <x:c r="A29" t="str">
        <x:v>E6-FR</x:v>
      </x:c>
      <x:c r="B29" t="str">
        <x:v>1940–41</x:v>
      </x:c>
      <x:c r="C29" t="str">
        <x:v>E6</x:v>
      </x:c>
      <x:c r="D29" t="str">
        <x:v>M</x:v>
      </x:c>
      <x:c r="E29" t="str">
        <x:v>front low-BPR</x:v>
      </x:c>
      <x:c r="F29" t="str">
        <x:v>—</x:v>
      </x:c>
      <x:c r="G29" t="str">
        <x:v>aviation research</x:v>
      </x:c>
      <x:c r="H29" t="str">
        <x:v>R1/R2</x:v>
      </x:c>
      <x:c r="I29" s="18" t="str">
        <x:v>thrust</x:v>
      </x:c>
      <x:c r="J29" s="44" t="str"/>
      <x:c r="K29" s="44" t="str"/>
      <x:c r="L29" s="18" t="str">
        <x:v>OPEN</x:v>
      </x:c>
      <x:c r="M29" s="18" t="str">
        <x:v>two-spool/geared front fan not yet product</x:v>
      </x:c>
      <x:c r="N29" s="18" t="str">
        <x:v>component/ground work</x:v>
      </x:c>
      <x:c r="O29" s="18" t="str">
        <x:v>keeps front-fan line alive before E7 product</x:v>
      </x:c>
      <x:c r="P29" s="18" t="str">
        <x:v>OPEN</x:v>
      </x:c>
      <x:c r="Q29" s="18" t="str">
        <x:v>large fan/two-spool/bearings/inlet</x:v>
      </x:c>
    </x:row>
    <x:row r="30">
      <x:c r="A30" t="str">
        <x:v>E6-LR2</x:v>
      </x:c>
      <x:c r="B30" t="str">
        <x:v>1939–41</x:v>
      </x:c>
      <x:c r="C30" t="str">
        <x:v>E6</x:v>
      </x:c>
      <x:c r="D30" t="str">
        <x:v>L precursor 20–21</x:v>
      </x:c>
      <x:c r="E30" t="str">
        <x:v>shaft core</x:v>
      </x:c>
      <x:c r="F30" t="str">
        <x:v>H→L</x:v>
      </x:c>
      <x:c r="G30" t="str">
        <x:v>marine/large generation research</x:v>
      </x:c>
      <x:c r="H30" t="str">
        <x:v>R2</x:v>
      </x:c>
      <x:c r="I30" s="18" t="str">
        <x:v>shaft hp</x:v>
      </x:c>
      <x:c r="J30" s="44" t="n">
        <x:f>'03_SHAFT_ENVELOPE'!M15/0.7457</x:f>
        <x:v>2828.536945152206</x:v>
      </x:c>
      <x:c r="K30" s="44" t="n">
        <x:f>'03_SHAFT_ENVELOPE'!I15</x:f>
        <x:v>3535.6711814402574</x:v>
      </x:c>
      <x:c r="L30" s="18" t="str">
        <x:v>hp</x:v>
      </x:c>
      <x:c r="M30" s="18" t="str">
        <x:v>rating span from long-life to capability</x:v>
      </x:c>
      <x:c r="N30" s="18" t="str">
        <x:v>experimental</x:v>
      </x:c>
      <x:c r="O30" s="18" t="str">
        <x:v>large-scale hot core before product demand</x:v>
      </x:c>
      <x:c r="P30" s="18" t="str">
        <x:v>DERIVED-WORKING</x:v>
      </x:c>
      <x:c r="Q30" s="18" t="str">
        <x:v>large rotor/combustor/start/test stand</x:v>
      </x:c>
    </x:row>
  </x:sheetData>
  <x:mergeCells>
    <x:mergeCell ref="A1:Q1"/>
  </x:mergeCells>
  <x:conditionalFormatting sqref="P4:P30">
    <x:cfRule type="expression" dxfId="0" priority="1">
      <x:formula>ISNUMBER(SEARCH("FIXED",P4))</x:formula>
    </x:cfRule>
    <x:cfRule type="expression" dxfId="1" priority="2">
      <x:formula>ISNUMBER(SEARCH("OPEN",P4))</x:formula>
    </x:cfRule>
    <x:cfRule type="expression" dxfId="2" priority="3">
      <x:formula>ISNUMBER(SEARCH("DERIVED",P4))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4" hidden="0" customWidth="1"/>
    <x:col min="4" max="4" width="32" hidden="0" customWidth="1"/>
    <x:col min="5" max="5" width="34" hidden="0" customWidth="1"/>
    <x:col min="6" max="6" width="36" hidden="0" customWidth="1"/>
    <x:col min="7" max="7" width="38" hidden="0" customWidth="1"/>
    <x:col min="8" max="8" width="32" hidden="0" customWidth="1"/>
    <x:col min="9" max="9" width="32" hidden="0" customWidth="1"/>
    <x:col min="10" max="10" width="48" hidden="0" customWidth="1"/>
  </x:cols>
  <x:sheetData>
    <x:row r="1">
      <x:c r="A1" s="5" t="str">
        <x:v>Integrated Timeline: common core → ground / marine / TP / jet / fan / scale / military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8" t="str">
        <x:v>Year/window</x:v>
      </x:c>
      <x:c r="B3" s="28" t="str">
        <x:v>Gen</x:v>
      </x:c>
      <x:c r="C3" s="28" t="str">
        <x:v>Common core / test</x:v>
      </x:c>
      <x:c r="D3" s="28" t="str">
        <x:v>Stationary / ground</x:v>
      </x:c>
      <x:c r="E3" s="28" t="str">
        <x:v>Marine / shipboard</x:v>
      </x:c>
      <x:c r="F3" s="28" t="str">
        <x:v>TP / prop-shaft aviation</x:v>
      </x:c>
      <x:c r="G3" s="28" t="str">
        <x:v>Pure jet aviation</x:v>
      </x:c>
      <x:c r="H3" s="28" t="str">
        <x:v>Fan</x:v>
      </x:c>
      <x:c r="I3" s="28" t="str">
        <x:v>Scale / rating</x:v>
      </x:c>
      <x:c r="J3" s="28" t="str">
        <x:v>Military / institutional consequence</x:v>
      </x:c>
    </x:row>
    <x:row r="4">
      <x:c r="A4" s="18" t="str">
        <x:v>1921–24</x:v>
      </x:c>
      <x:c r="B4" s="18" t="str">
        <x:v>E1</x:v>
      </x:c>
      <x:c r="C4" s="18" t="str">
        <x:v>net shaft work established; bearing/seal/starting are primary</x:v>
      </x:c>
      <x:c r="D4" s="18" t="str">
        <x:v>generator/load stands begin</x:v>
      </x:c>
      <x:c r="E4" s="18" t="str">
        <x:v>shaft/load concept only</x:v>
      </x:c>
      <x:c r="F4" s="18" t="str">
        <x:v>prop/fan brake-load idea begins with GT shaft use</x:v>
      </x:c>
      <x:c r="G4" s="18" t="str">
        <x:v>—</x:v>
      </x:c>
      <x:c r="H4" s="18" t="str">
        <x:v>—</x:v>
      </x:c>
      <x:c r="I4" s="18" t="str">
        <x:v>small integrated rotor; larger components exploratory</x:v>
      </x:c>
      <x:c r="J4" s="18" t="str">
        <x:v>no military aviation program</x:v>
      </x:c>
    </x:row>
    <x:row r="5">
      <x:c r="A5" s="18" t="str">
        <x:v>1925–27</x:v>
      </x:c>
      <x:c r="B5" s="18" t="str">
        <x:v>E2</x:v>
      </x:c>
      <x:c r="C5" s="18" t="str">
        <x:v>PR/TIT improve; turbocharger/high-speed rotor experience</x:v>
      </x:c>
      <x:c r="D5" s="18" t="str">
        <x:v>limited emergency/peak sets</x:v>
      </x:c>
      <x:c r="E5" s="18" t="str">
        <x:v>reduction/load rigs</x:v>
      </x:c>
      <x:c r="F5" s="18" t="str">
        <x:v>reduction + prop load rig</x:v>
      </x:c>
      <x:c r="G5" s="18" t="str">
        <x:v>—</x:v>
      </x:c>
      <x:c r="H5" s="18" t="str">
        <x:v>ducted fan load concept</x:v>
      </x:c>
      <x:c r="I5" s="18" t="str">
        <x:v>larger compressor/rotor component work</x:v>
      </x:c>
      <x:c r="J5" s="18" t="str">
        <x:v>industrial endurance data accumulates</x:v>
      </x:c>
    </x:row>
    <x:row r="6">
      <x:c r="A6" s="18" t="str">
        <x:v>1928</x:v>
      </x:c>
      <x:c r="B6" s="18" t="str">
        <x:v>E3</x:v>
      </x:c>
      <x:c r="C6" s="18" t="str">
        <x:v>4–6 kg/s class experimental gas generator</x:v>
      </x:c>
      <x:c r="D6" s="18" t="str">
        <x:v>industrial experimental set</x:v>
      </x:c>
      <x:c r="E6" s="18" t="str">
        <x:v>marine reduction/full-load rig</x:v>
      </x:c>
      <x:c r="F6" s="18" t="str">
        <x:v>full prop ground rig</x:v>
      </x:c>
      <x:c r="G6" s="18" t="str">
        <x:v>fixed-nozzle thrust stand</x:v>
      </x:c>
      <x:c r="H6" s="18" t="str">
        <x:v>crude fan rear-end rig</x:v>
      </x:c>
      <x:c r="I6" s="18" t="str">
        <x:v>6–8 kg/s component/full-core exploration</x:v>
      </x:c>
      <x:c r="J6" s="18" t="str">
        <x:v>aviation interest remains research-led</x:v>
      </x:c>
    </x:row>
    <x:row r="7">
      <x:c r="A7" s="18" t="str">
        <x:v>1929–30</x:v>
      </x:c>
      <x:c r="B7" s="18" t="str">
        <x:v>E3→E4</x:v>
      </x:c>
      <x:c r="C7" s="18" t="str">
        <x:v>standardized rear-end interfaces and instrumentation</x:v>
      </x:c>
      <x:c r="D7" s="18" t="str">
        <x:v>endurance fleet expands</x:v>
      </x:c>
      <x:c r="E7" s="18" t="str">
        <x:v>small-craft/aux integration studies</x:v>
      </x:c>
      <x:c r="F7" s="18" t="str">
        <x:v>captive/flight TP test plausible</x:v>
      </x:c>
      <x:c r="G7" s="18" t="str">
        <x:v>噴架一号: mother-aircraft pod</x:v>
      </x:c>
      <x:c r="H7" s="18" t="str">
        <x:v>fan remains ground/pod</x:v>
      </x:c>
      <x:c r="I7" s="18" t="str">
        <x:v>E4 6–7 kg/s scale prepared</x:v>
      </x:c>
      <x:c r="J7" s="18" t="str">
        <x:v>military observers see data; no weapon program</x:v>
      </x:c>
    </x:row>
    <x:row r="8">
      <x:c r="A8" s="18" t="str">
        <x:v>1931</x:v>
      </x:c>
      <x:c r="B8" s="18" t="str">
        <x:v>E4</x:v>
      </x:c>
      <x:c r="C8" s="18" t="str">
        <x:v>6.7 kg/s / ~507 kW product front</x:v>
      </x:c>
      <x:c r="D8" s="18" t="str">
        <x:v>simple shaft product; regenerative long-duty branch</x:v>
      </x:c>
      <x:c r="E8" s="18" t="str">
        <x:v>small marine module R2/P-limited</x:v>
      </x:c>
      <x:c r="F8" s="18" t="str">
        <x:v>TP flight demonstrator; limited-use candidate</x:v>
      </x:c>
      <x:c r="G8" s="18" t="str">
        <x:v>E4-J pod qualification</x:v>
      </x:c>
      <x:c r="H8" s="18" t="str">
        <x:v>aft-fan rig/pod</x:v>
      </x:c>
      <x:c r="I8" s="18" t="str">
        <x:v>8–10 kg/s R2 begins</x:v>
      </x:c>
      <x:c r="J8" s="18" t="str">
        <x:v>GT becomes sellable technology family</x:v>
      </x:c>
    </x:row>
    <x:row r="9">
      <x:c r="A9" s="18" t="str">
        <x:v>1932</x:v>
      </x:c>
      <x:c r="B9" s="18" t="str">
        <x:v>E4</x:v>
      </x:c>
      <x:c r="C9" s="18" t="str">
        <x:v>E4-J airworthy integration</x:v>
      </x:c>
      <x:c r="D9" s="18" t="str">
        <x:v>ground endurance validates bearings/combustor life</x:v>
      </x:c>
      <x:c r="E9" s="18" t="str">
        <x:v>marine continuous rating studies</x:v>
      </x:c>
      <x:c r="F9" s="18" t="str">
        <x:v>TP collects low-speed/prop data</x:v>
      </x:c>
      <x:c r="G9" s="18" t="str">
        <x:v>噴一号 reaches ~450 km/h class</x:v>
      </x:c>
      <x:c r="H9" s="18" t="str">
        <x:v>fan package remains unattractive small-aircraft</x:v>
      </x:c>
      <x:c r="I9" s="18" t="str">
        <x:v>rating split H/N/C/L starts to matter</x:v>
      </x:c>
      <x:c r="J9" s="18" t="str">
        <x:v>military reaction shifts from curiosity to funded evaluation</x:v>
      </x:c>
    </x:row>
    <x:row r="10">
      <x:c r="A10" s="18" t="str">
        <x:v>1932 H2–1933</x:v>
      </x:c>
      <x:c r="B10" s="18" t="str">
        <x:v>E4</x:v>
      </x:c>
      <x:c r="C10" s="18" t="str">
        <x:v>high-flow E4-J ~330 kgf shadow used for tests</x:v>
      </x:c>
      <x:c r="D10" s="18" t="str">
        <x:v>—</x:v>
      </x:c>
      <x:c r="E10" s="18" t="str">
        <x:v>—</x:v>
      </x:c>
      <x:c r="F10" s="18" t="str">
        <x:v>—</x:v>
      </x:c>
      <x:c r="G10" s="18" t="str">
        <x:v>噴一号 ~450–475 km/h; 噴二号 ~380–405 km/h</x:v>
      </x:c>
      <x:c r="H10" s="18" t="str">
        <x:v>—</x:v>
      </x:c>
      <x:c r="I10" s="18" t="str">
        <x:v>—</x:v>
      </x:c>
      <x:c r="J10" s="18" t="str">
        <x:v>low vibration + high-altitude camera value becomes visible</x:v>
      </x:c>
    </x:row>
    <x:row r="11">
      <x:c r="A11" s="18" t="str">
        <x:v>1933</x:v>
      </x:c>
      <x:c r="B11" s="18" t="str">
        <x:v>E4</x:v>
      </x:c>
      <x:c r="C11" s="18" t="str">
        <x:v>fuel/installation data integrated</x:v>
      </x:c>
      <x:c r="D11" s="18" t="str">
        <x:v>—</x:v>
      </x:c>
      <x:c r="E11" s="18" t="str">
        <x:v>—</x:v>
      </x:c>
      <x:c r="F11" s="18" t="str">
        <x:v>TP offers alternate answer to range/takeoff problem</x:v>
      </x:c>
      <x:c r="G11" s="18" t="str">
        <x:v>噴一号乙 500–600 L range/recon evaluation</x:v>
      </x:c>
      <x:c r="H11" s="18" t="str">
        <x:v>—</x:v>
      </x:c>
      <x:c r="I11" s="18" t="str">
        <x:v>fuel mass raises takeoff/approach burden</x:v>
      </x:c>
      <x:c r="J11" s="18" t="str">
        <x:v>military funds extra articles, cameras, radio, pilots</x:v>
      </x:c>
    </x:row>
    <x:row r="12">
      <x:c r="A12" s="18" t="str">
        <x:v>1933–34</x:v>
      </x:c>
      <x:c r="B12" s="18" t="str">
        <x:v>E4</x:v>
      </x:c>
      <x:c r="C12" s="18" t="str">
        <x:v>low-speed instrumentation becomes systematic</x:v>
      </x:c>
      <x:c r="D12" s="18" t="str">
        <x:v>brake/tire/gear/lift-dump/high-lift studies</x:v>
      </x:c>
      <x:c r="E12" s="18" t="str">
        <x:v>short-deck implications noticed</x:v>
      </x:c>
      <x:c r="F12" s="18" t="str">
        <x:v>flap + propulsive-flow research starts to connect</x:v>
      </x:c>
      <x:c r="G12" s="18" t="str">
        <x:v>jet militaryization constrained by runway, climb, range</x:v>
      </x:c>
      <x:c r="H12" s="18" t="str">
        <x:v>fan recognized as possible low-speed-thrust route</x:v>
      </x:c>
      <x:c r="I12" s="18" t="str">
        <x:v>8–10 kg/s R2 / ~11 R1</x:v>
      </x:c>
      <x:c r="J12" s="18" t="str">
        <x:v>future STOL line originates from practical fuel-weight problem</x:v>
      </x:c>
    </x:row>
    <x:row r="13">
      <x:c r="A13" s="18" t="str">
        <x:v>1934</x:v>
      </x:c>
      <x:c r="B13" s="18" t="str">
        <x:v>E5 early</x:v>
      </x:c>
      <x:c r="C13" s="18" t="str">
        <x:v>PR6/TIT800 component &amp; gas-generator development</x:v>
      </x:c>
      <x:c r="D13" s="18" t="str">
        <x:v>E4 long-duty fleet feeds E5 life design</x:v>
      </x:c>
      <x:c r="E13" s="18" t="str">
        <x:v>S-scale marine demand presses output ceiling</x:v>
      </x:c>
      <x:c r="F13" s="18" t="str">
        <x:v>E4 TP operational learning becomes E5 requirement input</x:v>
      </x:c>
      <x:c r="G13" s="18" t="str">
        <x:v>E4 test fleet continues; E5 mount preparation</x:v>
      </x:c>
      <x:c r="H13" s="18" t="str">
        <x:v>aft-fan kept active, not postponed</x:v>
      </x:c>
      <x:c r="I13" s="18" t="str">
        <x:v>9–12 kg/s full-core /12–15 component research begins</x:v>
      </x:c>
      <x:c r="J13" s="18" t="str">
        <x:v>military requirements become quantitative: speed+range+runway+payload</x:v>
      </x:c>
    </x:row>
    <x:row r="14">
      <x:c r="A14" s="18" t="str">
        <x:v>1935</x:v>
      </x:c>
      <x:c r="B14" s="18" t="str">
        <x:v>E5</x:v>
      </x:c>
      <x:c r="C14" s="18" t="str">
        <x:v>E5 gas-generator &amp; shaft products mature toward 1,000 hp</x:v>
      </x:c>
      <x:c r="D14" s="18" t="str">
        <x:v>long-life generator/process branch</x:v>
      </x:c>
      <x:c r="E14" s="18" t="str">
        <x:v>marine C/H rating split; boost demand exposes S ceiling</x:v>
      </x:c>
      <x:c r="F14" s="18" t="str">
        <x:v>E5 TP ground/flight integration</x:v>
      </x:c>
      <x:c r="G14" s="18" t="str">
        <x:v>E5-J bench → pod/nacelle installed audit</x:v>
      </x:c>
      <x:c r="H14" s="18" t="str">
        <x:v>E5 aft-fan ground package audit</x:v>
      </x:c>
      <x:c r="I14" s="18" t="str">
        <x:v>M-scale precursor rigs</x:v>
      </x:c>
      <x:c r="J14" s="18" t="str">
        <x:v>military supplies mission payload and evaluation conditions</x:v>
      </x:c>
    </x:row>
    <x:row r="15">
      <x:c r="A15" s="18" t="str">
        <x:v>1936 H1</x:v>
      </x:c>
      <x:c r="B15" s="18" t="str">
        <x:v>E5</x:v>
      </x:c>
      <x:c r="C15" s="18" t="str">
        <x:v>standard core enters practical product region</x:v>
      </x:c>
      <x:c r="D15" s="18" t="str">
        <x:v>~0.6 MW long-duty sets plausible</x:v>
      </x:c>
      <x:c r="E15" s="18" t="str">
        <x:v>small-craft/aux productization; larger module R2</x:v>
      </x:c>
      <x:c r="F15" s="18" t="str">
        <x:v>950–1,060 hp TP family</x:v>
      </x:c>
      <x:c r="G15" s="18" t="str">
        <x:v>E5-J flight qualification on existing testbeds</x:v>
      </x:c>
      <x:c r="H15" s="18" t="str">
        <x:v>aft-fan flight article prepared</x:v>
      </x:c>
      <x:c r="I15" s="18" t="str">
        <x:v>9–12 kg/s R2 active</x:v>
      </x:c>
      <x:c r="J15" s="18" t="str">
        <x:v>jet no longer asks 'can it fly?' but 'what mission wins?'</x:v>
      </x:c>
    </x:row>
    <x:row r="16">
      <x:c r="A16" s="18" t="str">
        <x:v>1936 H2</x:v>
      </x:c>
      <x:c r="B16" s="18" t="str">
        <x:v>E5</x:v>
      </x:c>
      <x:c r="C16" s="18" t="str">
        <x:v>installed data closes around aircraft packages</x:v>
      </x:c>
      <x:c r="D16" s="18" t="str">
        <x:v>—</x:v>
      </x:c>
      <x:c r="E16" s="18" t="str">
        <x:v>—</x:v>
      </x:c>
      <x:c r="F16" s="18" t="str">
        <x:v>TP competes for range/field performance</x:v>
      </x:c>
      <x:c r="G16" s="18" t="str">
        <x:v>噴一号 E5-J 600 km/h-class sensitivity; 噴二号 military systems</x:v>
      </x:c>
      <x:c r="H16" s="18" t="str">
        <x:v>噴二号乙 pure/fan comparative campaign</x:v>
      </x:c>
      <x:c r="I16" s="18" t="str">
        <x:v>side-intake/future-form design work begins</x:v>
      </x:c>
      <x:c r="J16" s="18" t="str">
        <x:v>joint military high-speed/recon tests</x:v>
      </x:c>
    </x:row>
    <x:row r="17">
      <x:c r="A17" s="18" t="str">
        <x:v>1937</x:v>
      </x:c>
      <x:c r="B17" s="18" t="str">
        <x:v>E5 mature</x:v>
      </x:c>
      <x:c r="C17" s="18" t="str">
        <x:v>E5 family diversified by rating/application</x:v>
      </x:c>
      <x:c r="D17" s="18" t="str">
        <x:v>long-overhaul product philosophy established</x:v>
      </x:c>
      <x:c r="E17" s="18" t="str">
        <x:v>S-scale marine 1,000 hp class vs M-precursor comparison</x:v>
      </x:c>
      <x:c r="F17" s="18" t="str">
        <x:v>TP becomes serious recon/transport/attack candidate</x:v>
      </x:c>
      <x:c r="G17" s="18" t="str">
        <x:v>噴三号 rear-engine future-form flies; pure jet role separation</x:v>
      </x:c>
      <x:c r="H17" s="18" t="str">
        <x:v>E5 aft-fan flight audit closes or rejects package</x:v>
      </x:c>
      <x:c r="I17" s="18" t="str">
        <x:v>12–15 kg/s components feed E6-M</x:v>
      </x:c>
      <x:c r="J17" s="18" t="str">
        <x:v>formal military prototype requirements may emerge from evidence</x:v>
      </x:c>
    </x:row>
    <x:row r="18">
      <x:c r="A18" s="18" t="str">
        <x:v>1938</x:v>
      </x:c>
      <x:c r="B18" s="18" t="str">
        <x:v>E6 early</x:v>
      </x:c>
      <x:c r="C18" s="18" t="str">
        <x:v>PR7 front; S and M scale productization</x:v>
      </x:c>
      <x:c r="D18" s="18" t="str">
        <x:v>S/M generator families</x:v>
      </x:c>
      <x:c r="E18" s="18" t="str">
        <x:v>2,000 hp-class marine module qualification begins</x:v>
      </x:c>
      <x:c r="F18" s="18" t="str">
        <x:v>S 1,300–1,500 hp; M input integration</x:v>
      </x:c>
      <x:c r="G18" s="18" t="str">
        <x:v>E6-M pure 850–900 kgf</x:v>
      </x:c>
      <x:c r="H18" s="18" t="str">
        <x:v>aft-fan 950–1,000 kgf product path</x:v>
      </x:c>
      <x:c r="I18" s="18" t="str">
        <x:v>20–21 kg/s large-core R1/R2 authorized by demand</x:v>
      </x:c>
      <x:c r="J18" s="18" t="str">
        <x:v>multiple military propulsion architectures become operationally credible</x:v>
      </x:c>
    </x:row>
    <x:row r="19">
      <x:c r="A19" s="18" t="str">
        <x:v>1939–41</x:v>
      </x:c>
      <x:c r="B19" s="18" t="str">
        <x:v>E6</x:v>
      </x:c>
      <x:c r="C19" s="18" t="str">
        <x:v>organization inherits prior methods; long-life ratings mature</x:v>
      </x:c>
      <x:c r="D19" s="18" t="str">
        <x:v>~1.3 MWe-class long-life M genset candidate</x:v>
      </x:c>
      <x:c r="E19" s="18" t="str">
        <x:v>2,000–2,100 hp continuous / ~2,300 short; large-core research</x:v>
      </x:c>
      <x:c r="F19" s="18" t="str">
        <x:v>TP high-power + STOL/short-field research increasingly coupled</x:v>
      </x:c>
      <x:c r="G19" s="18" t="str">
        <x:v>single/twin jet branches move from demonstrator to weapon candidates</x:v>
      </x:c>
      <x:c r="H19" s="18" t="str">
        <x:v>aft-fan practical; front-fan R1/R2 groundwork</x:v>
      </x:c>
      <x:c r="I19" s="18" t="str">
        <x:v>20–21 kg/s R2; larger R1; H/N/C/L explicit</x:v>
      </x:c>
      <x:c r="J19" s="18" t="str">
        <x:v>ground/marine demand feeds scale-up; aviation feeds lightness &amp; control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2" hidden="0" customWidth="1"/>
    <x:col min="4" max="4" width="40" hidden="0" customWidth="1"/>
    <x:col min="5" max="5" width="44" hidden="0" customWidth="1"/>
    <x:col min="6" max="6" width="42" hidden="0" customWidth="1"/>
    <x:col min="7" max="7" width="18" hidden="0" customWidth="1"/>
    <x:col min="8" max="8" width="42" hidden="0" customWidth="1"/>
  </x:cols>
  <x:sheetData>
    <x:row r="1">
      <x:c r="A1" s="5" t="str">
        <x:v>Open Gates / Next Closure Campaigns</x:v>
      </x:c>
      <x:c r="B1" s="5"/>
      <x:c r="C1" s="5"/>
      <x:c r="D1" s="5"/>
      <x:c r="E1" s="5"/>
      <x:c r="F1" s="5"/>
      <x:c r="G1" s="5"/>
      <x:c r="H1" s="5"/>
    </x:row>
    <x:row r="3">
      <x:c r="A3" s="28" t="str">
        <x:v>Priority</x:v>
      </x:c>
      <x:c r="B3" s="28" t="str">
        <x:v>Gate</x:v>
      </x:c>
      <x:c r="C3" s="28" t="str">
        <x:v>Generation</x:v>
      </x:c>
      <x:c r="D3" s="28" t="str">
        <x:v>Why it matters</x:v>
      </x:c>
      <x:c r="E3" s="28" t="str">
        <x:v>Closure method</x:v>
      </x:c>
      <x:c r="F3" s="28" t="str">
        <x:v>Output that changes decision</x:v>
      </x:c>
      <x:c r="G3" s="28" t="str">
        <x:v>Current state</x:v>
      </x:c>
      <x:c r="H3" s="28" t="str">
        <x:v>Do not assume</x:v>
      </x:c>
    </x:row>
    <x:row r="4">
      <x:c r="A4" s="18" t="n">
        <x:v>1</x:v>
      </x:c>
      <x:c r="B4" s="18" t="str">
        <x:v>E5 pure-jet installed mass / TSFC / altitude map</x:v>
      </x:c>
      <x:c r="C4" s="18" t="str">
        <x:v>E5</x:v>
      </x:c>
      <x:c r="D4" s="18" t="str">
        <x:v>sets real aircraft speed/range and whether military product is worthwhile</x:v>
      </x:c>
      <x:c r="E4" s="18" t="str">
        <x:v>噴一号 clean reference + 噴二号 installed comparison</x:v>
      </x:c>
      <x:c r="F4" s="18" t="str">
        <x:v>actual thrust lapse, fuel flow, installed mass</x:v>
      </x:c>
      <x:c r="G4" s="18" t="str">
        <x:v>OPEN</x:v>
      </x:c>
      <x:c r="H4" s="18" t="str">
        <x:v>430–470 kgf shadow is not full aircraft rating</x:v>
      </x:c>
    </x:row>
    <x:row r="5">
      <x:c r="A5" s="18" t="n">
        <x:v>2</x:v>
      </x:c>
      <x:c r="B5" s="18" t="str">
        <x:v>E5 aft-fan package</x:v>
      </x:c>
      <x:c r="C5" s="18" t="str">
        <x:v>E5</x:v>
      </x:c>
      <x:c r="D5" s="18" t="str">
        <x:v>decides whether fan enters limited product before E6</x:v>
      </x:c>
      <x:c r="E5" s="18" t="str">
        <x:v>same-airframe pure/fan A/B flights</x:v>
      </x:c>
      <x:c r="F5" s="18" t="str">
        <x:v>thrust, mass, diameter, TSFC, drag, climb, takeoff</x:v>
      </x:c>
      <x:c r="G5" s="18" t="str">
        <x:v>OPEN</x:v>
      </x:c>
      <x:c r="H5" s="18" t="str">
        <x:v>do not copy E6 factor without audit</x:v>
      </x:c>
    </x:row>
    <x:row r="6">
      <x:c r="A6" s="18" t="n">
        <x:v>3</x:v>
      </x:c>
      <x:c r="B6" s="18" t="str">
        <x:v>E4/E5 TP installed mass / prop absorption / gearbox</x:v>
      </x:c>
      <x:c r="C6" s="18" t="str">
        <x:v>E4–E5</x:v>
      </x:c>
      <x:c r="D6" s="18" t="str">
        <x:v>TP may be earliest useful aviation GT and feeds STOL</x:v>
      </x:c>
      <x:c r="E6" s="18" t="str">
        <x:v>prop rig + flight demonstrator</x:v>
      </x:c>
      <x:c r="F6" s="18" t="str">
        <x:v>installed hp, prop dia/rpm, gearbox mass, takeoff/climb</x:v>
      </x:c>
      <x:c r="G6" s="18" t="str">
        <x:v>OPEN</x:v>
      </x:c>
      <x:c r="H6" s="18" t="str">
        <x:v>shaft hp is not absorbed prop hp</x:v>
      </x:c>
    </x:row>
    <x:row r="7">
      <x:c r="A7" s="18" t="n">
        <x:v>4</x:v>
      </x:c>
      <x:c r="B7" s="18" t="str">
        <x:v>E4 fuel-growth + high-lift package</x:v>
      </x:c>
      <x:c r="C7" s="18" t="str">
        <x:v>E4</x:v>
      </x:c>
      <x:c r="D7" s="18" t="str">
        <x:v>origin of low-speed/STOL research and military evaluation</x:v>
      </x:c>
      <x:c r="E7" s="18" t="str">
        <x:v>噴一号乙 300/500/600 L configs, flap/brake tests</x:v>
      </x:c>
      <x:c r="F7" s="18" t="str">
        <x:v>runway, approach, mission radius, camera quality</x:v>
      </x:c>
      <x:c r="G7" s="18" t="str">
        <x:v>PARTLY DERIVED</x:v>
      </x:c>
      <x:c r="H7" s="18" t="str">
        <x:v>highest speed alone does not set utility</x:v>
      </x:c>
    </x:row>
    <x:row r="8">
      <x:c r="A8" s="18" t="n">
        <x:v>5</x:v>
      </x:c>
      <x:c r="B8" s="18" t="str">
        <x:v>E5 9–12 kg/s M-precursor full core</x:v>
      </x:c>
      <x:c r="C8" s="18" t="str">
        <x:v>E5</x:v>
      </x:c>
      <x:c r="D8" s="18" t="str">
        <x:v>connects S-scale product ceiling to E6-M without discontinuity</x:v>
      </x:c>
      <x:c r="E8" s="18" t="str">
        <x:v>full hot R2 endurance &amp; rotor/combustor tests</x:v>
      </x:c>
      <x:c r="F8" s="18" t="str">
        <x:v>massflow, output, vibration, starting, life</x:v>
      </x:c>
      <x:c r="G8" s="18" t="str">
        <x:v>WORKING</x:v>
      </x:c>
      <x:c r="H8" s="18" t="str">
        <x:v>not a product just because full-core runs</x:v>
      </x:c>
    </x:row>
    <x:row r="9">
      <x:c r="A9" s="18" t="n">
        <x:v>6</x:v>
      </x:c>
      <x:c r="B9" s="18" t="str">
        <x:v>E6 20–21 kg/s large R2</x:v>
      </x:c>
      <x:c r="C9" s="18" t="str">
        <x:v>E6</x:v>
      </x:c>
      <x:c r="D9" s="18" t="str">
        <x:v>sets real large marine/generation ceiling and later large aviation options</x:v>
      </x:c>
      <x:c r="E9" s="18" t="str">
        <x:v>large test stand + sector/full annulus + endurance</x:v>
      </x:c>
      <x:c r="F9" s="18" t="str">
        <x:v>shaft capability, mass, diameter, continuous rating</x:v>
      </x:c>
      <x:c r="G9" s="18" t="str">
        <x:v>WORKING</x:v>
      </x:c>
      <x:c r="H9" s="18" t="str">
        <x:v>do not free-scale E6-M</x:v>
      </x:c>
    </x:row>
    <x:row r="10">
      <x:c r="A10" s="18" t="n">
        <x:v>7</x:v>
      </x:c>
      <x:c r="B10" s="18" t="str">
        <x:v>Long-life rating model by generation</x:v>
      </x:c>
      <x:c r="C10" s="18" t="str">
        <x:v>E4–E6</x:v>
      </x:c>
      <x:c r="D10" s="18" t="str">
        <x:v>stationary/marine economics depend more on TBO than headline output</x:v>
      </x:c>
      <x:c r="E10" s="18" t="str">
        <x:v>low-TIT endurance campaigns</x:v>
      </x:c>
      <x:c r="F10" s="18" t="str">
        <x:v>TIT vs output vs SFC vs inspection interval</x:v>
      </x:c>
      <x:c r="G10" s="18" t="str">
        <x:v>OPEN</x:v>
      </x:c>
      <x:c r="H10" s="18" t="str">
        <x:v>generic H/N/C/L factors are sensitivity only</x:v>
      </x:c>
    </x:row>
    <x:row r="11">
      <x:c r="A11" s="18" t="n">
        <x:v>8</x:v>
      </x:c>
      <x:c r="B11" s="18" t="str">
        <x:v>Front low-BPR fan groundwork</x:v>
      </x:c>
      <x:c r="C11" s="18" t="str">
        <x:v>E6→E7</x:v>
      </x:c>
      <x:c r="D11" s="18" t="str">
        <x:v>prevents aft-fan from becoming artificial dead-end</x:v>
      </x:c>
      <x:c r="E11" s="18" t="str">
        <x:v>two-spool/geared fan rigs</x:v>
      </x:c>
      <x:c r="F11" s="18" t="str">
        <x:v>fan map, bearing/critical speed, inlet compatibility</x:v>
      </x:c>
      <x:c r="G11" s="18" t="str">
        <x:v>OPEN</x:v>
      </x:c>
      <x:c r="H11" s="18" t="str">
        <x:v>not an E6 service product by default</x:v>
      </x:c>
    </x:row>
    <x:row r="12">
      <x:c r="A12" s="18" t="n">
        <x:v>9</x:v>
      </x:c>
      <x:c r="B12" s="18" t="str">
        <x:v>Ground vehicle GT</x:v>
      </x:c>
      <x:c r="C12" s="18" t="str">
        <x:v>E5–E6</x:v>
      </x:c>
      <x:c r="D12" s="18" t="str">
        <x:v>tests compact power density but may lose on part-load and dust</x:v>
      </x:c>
      <x:c r="E12" s="18" t="str">
        <x:v>vehicle mule with filters/transmission</x:v>
      </x:c>
      <x:c r="F12" s="18" t="str">
        <x:v>fuel use, dust life, cooling, drivability</x:v>
      </x:c>
      <x:c r="G12" s="18" t="str">
        <x:v>OPEN</x:v>
      </x:c>
      <x:c r="H12" s="18" t="str">
        <x:v>do not replace diesel automatically</x:v>
      </x:c>
    </x:row>
    <x:row r="13">
      <x:c r="A13" s="18" t="n">
        <x:v>10</x:v>
      </x:c>
      <x:c r="B13" s="18" t="str">
        <x:v>Marine salt/reversing/gear integration</x:v>
      </x:c>
      <x:c r="C13" s="18" t="str">
        <x:v>E4–E6</x:v>
      </x:c>
      <x:c r="D13" s="18" t="str">
        <x:v>engine-side power alone does not make ship propulsion</x:v>
      </x:c>
      <x:c r="E13" s="18" t="str">
        <x:v>small-craft qualification + shore gear rigs</x:v>
      </x:c>
      <x:c r="F13" s="18" t="str">
        <x:v>continuous power, salt fouling, reverse/clutch, gearbox life</x:v>
      </x:c>
      <x:c r="G13" s="18" t="str">
        <x:v>OPEN</x:v>
      </x:c>
      <x:c r="H13" s="18" t="str">
        <x:v>shore rig ≠ selected fleet installation</x:v>
      </x:c>
    </x:row>
  </x:sheetData>
  <x:mergeCells>
    <x:mergeCell ref="A1:H1"/>
  </x:mergeCells>
  <x:conditionalFormatting sqref="A4:A13">
    <x:cfRule type="colorScale" priority="1">
      <x:colorScale>
        <x:cfvo type="min"/>
        <x:cfvo type="percentile" val="50"/>
        <x:cfvo type="max"/>
        <x:color rgb="FFE2F0D9"/>
        <x:color rgb="FFFFF2CC"/>
        <x:color rgb="FFF4B084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18" hidden="0" customWidth="1"/>
    <x:col min="7" max="7" width="42" hidden="0" customWidth="1"/>
    <x:col min="8" max="8" width="52" hidden="0" customWidth="1"/>
  </x:cols>
  <x:sheetData>
    <x:row r="1" ht="26" customHeight="1">
      <x:c r="A1" s="49" t="str">
        <x:v>Cost / Fuel Model Assumptions — nominal contemporary yen; inflation normalization deferred</x:v>
      </x:c>
      <x:c r="B1" s="49"/>
      <x:c r="C1" s="49"/>
      <x:c r="D1" s="49"/>
      <x:c r="E1" s="49"/>
      <x:c r="F1" s="49"/>
      <x:c r="G1" s="49"/>
      <x:c r="H1" s="49"/>
    </x:row>
    <x:row r="3">
      <x:c r="A3" s="53" t="str">
        <x:v>Input</x:v>
      </x:c>
      <x:c r="B3" s="53" t="str">
        <x:v>Low</x:v>
      </x:c>
      <x:c r="C3" s="53" t="str">
        <x:v>Base</x:v>
      </x:c>
      <x:c r="D3" s="53" t="str">
        <x:v>High</x:v>
      </x:c>
      <x:c r="E3" s="53" t="str">
        <x:v>Unit</x:v>
      </x:c>
      <x:c r="F3" s="53" t="str">
        <x:v>Status</x:v>
      </x:c>
      <x:c r="G3" s="53" t="str">
        <x:v>Use / interpretation</x:v>
      </x:c>
      <x:c r="H3" s="53" t="str">
        <x:v>Source / basis</x:v>
      </x:c>
    </x:row>
    <x:row r="4">
      <x:c r="A4" s="18" t="str">
        <x:v>1934 JPY per USD</x:v>
      </x:c>
      <x:c r="B4" s="56" t="n">
        <x:v>3.33</x:v>
      </x:c>
      <x:c r="C4" s="56" t="n">
        <x:v>3.33</x:v>
      </x:c>
      <x:c r="D4" s="56" t="n">
        <x:v>3.33</x:v>
      </x:c>
      <x:c r="E4" s="18" t="str">
        <x:v>¥/$</x:v>
      </x:c>
      <x:c r="F4" s="18" t="str">
        <x:v>HISTORICAL</x:v>
      </x:c>
      <x:c r="G4" s="18" t="str">
        <x:v>foreign price calibration</x:v>
      </x:c>
      <x:c r="H4" s="18" t="str">
        <x:v>https://www.ier.hit-u.ac.jp/~fukao/japanese/publication/other/2005/2005-x1.pdf</x:v>
      </x:c>
    </x:row>
    <x:row r="5">
      <x:c r="A5" s="18" t="str">
        <x:v>1934 USD per GBP</x:v>
      </x:c>
      <x:c r="B5" s="56" t="n">
        <x:v>5.04</x:v>
      </x:c>
      <x:c r="C5" s="56" t="n">
        <x:v>5.04</x:v>
      </x:c>
      <x:c r="D5" s="56" t="n">
        <x:v>5.04</x:v>
      </x:c>
      <x:c r="E5" s="18" t="str">
        <x:v>$/£</x:v>
      </x:c>
      <x:c r="F5" s="18" t="str">
        <x:v>HISTORICAL</x:v>
      </x:c>
      <x:c r="G5" s="18" t="str">
        <x:v>Kestrel conversion</x:v>
      </x:c>
      <x:c r="H5" s="18" t="str">
        <x:v>https://www.measuringworth.com/datasets/exchangepound/result.php?year_result=2017&amp;year_source=1934</x:v>
      </x:c>
    </x:row>
    <x:row r="6">
      <x:c r="A6" s="18" t="str">
        <x:v>Kestrel 700 hp unit price</x:v>
      </x:c>
      <x:c r="B6" s="56" t="n">
        <x:v>2051</x:v>
      </x:c>
      <x:c r="C6" s="56" t="n">
        <x:v>2051</x:v>
      </x:c>
      <x:c r="D6" s="56" t="n">
        <x:v>2051</x:v>
      </x:c>
      <x:c r="E6" s="18" t="str">
        <x:v>£/engine</x:v>
      </x:c>
      <x:c r="F6" s="18" t="str">
        <x:v>HISTORICAL</x:v>
      </x:c>
      <x:c r="G6" s="18" t="str">
        <x:v>high-grade 1934 piston aero-engine anchor</x:v>
      </x:c>
      <x:c r="H6" s="18" t="str">
        <x:v>https://ipfs.basearchive.ai/ipfs/QmXoypizjW3WknFiJnKLwHCnL72vedxjQkDDP1mXWo6uco/wiki/Rolls-Royce_Kestrel.html</x:v>
      </x:c>
    </x:row>
    <x:row r="7">
      <x:c r="A7" s="18" t="str">
        <x:v>1934 US commercial engine avg.</x:v>
      </x:c>
      <x:c r="B7" s="56" t="n">
        <x:v>5015</x:v>
      </x:c>
      <x:c r="C7" s="56" t="n">
        <x:v>5015</x:v>
      </x:c>
      <x:c r="D7" s="56" t="n">
        <x:v>5015</x:v>
      </x:c>
      <x:c r="E7" s="18" t="str">
        <x:v>$/engine</x:v>
      </x:c>
      <x:c r="F7" s="18" t="str">
        <x:v>HISTORICAL</x:v>
      </x:c>
      <x:c r="G7" s="18" t="str">
        <x:v>lower/whole-market aero-engine calibration</x:v>
      </x:c>
      <x:c r="H7" s="18" t="str">
        <x:v>https://www.scribd.com/document/501371624/THE-1935-AIRCRAFT-YEAR-BOOK</x:v>
      </x:c>
    </x:row>
    <x:row r="8">
      <x:c r="A8" s="18" t="str">
        <x:v>Avgas military-bulk modeled</x:v>
      </x:c>
      <x:c r="B8" s="56" t="n">
        <x:v>0.18</x:v>
      </x:c>
      <x:c r="C8" s="56" t="n">
        <x:v>0.2</x:v>
      </x:c>
      <x:c r="D8" s="56" t="n">
        <x:v>0.24</x:v>
      </x:c>
      <x:c r="E8" s="18" t="str">
        <x:v>¥/L</x:v>
      </x:c>
      <x:c r="F8" s="18" t="str">
        <x:v>DERIVED-WORKING</x:v>
      </x:c>
      <x:c r="G8" s="18" t="str">
        <x:v>high-octane aviation gasoline; tax-exempt bulk basis</x:v>
      </x:c>
      <x:c r="H8" s="18" t="str">
        <x:v>1934 US gasoline 12.5–20.5¢/gal + 1934 FX, adjusted for aviation grade/import logistics</x:v>
      </x:c>
    </x:row>
    <x:row r="9">
      <x:c r="A9" s="18" t="str">
        <x:v>Commercial kerosene immediate</x:v>
      </x:c>
      <x:c r="B9" s="56" t="n">
        <x:v>0.09</x:v>
      </x:c>
      <x:c r="C9" s="56" t="n">
        <x:v>0.11</x:v>
      </x:c>
      <x:c r="D9" s="56" t="n">
        <x:v>0.13</x:v>
      </x:c>
      <x:c r="E9" s="18" t="str">
        <x:v>¥/L</x:v>
      </x:c>
      <x:c r="F9" s="18" t="str">
        <x:v>DERIVED-WORKING</x:v>
      </x:c>
      <x:c r="G9" s="18" t="str">
        <x:v>available now; filter/cold-screen before aviation use</x:v>
      </x:c>
      <x:c r="H9" s="18" t="str">
        <x:v>1934 US kerosene refinery ~3–6¢/gal; Japanese import/refining/logistics uplift</x:v>
      </x:c>
    </x:row>
    <x:row r="10">
      <x:c r="A10" s="18" t="str">
        <x:v>Light gas-oil / diesel immediate</x:v>
      </x:c>
      <x:c r="B10" s="56" t="n">
        <x:v>0.075</x:v>
      </x:c>
      <x:c r="C10" s="56" t="n">
        <x:v>0.09</x:v>
      </x:c>
      <x:c r="D10" s="56" t="n">
        <x:v>0.11</x:v>
      </x:c>
      <x:c r="E10" s="18" t="str">
        <x:v>¥/L</x:v>
      </x:c>
      <x:c r="F10" s="18" t="str">
        <x:v>DERIVED-WORKING</x:v>
      </x:c>
      <x:c r="G10" s="18" t="str">
        <x:v>ground/marine; aviation only with limits</x:v>
      </x:c>
      <x:c r="H10" s="18" t="str">
        <x:v>middle-distillate price relationship; in-world bulk procurement</x:v>
      </x:c>
    </x:row>
    <x:row r="11">
      <x:c r="A11" s="18" t="str">
        <x:v>Joint aviation GT distillate</x:v>
      </x:c>
      <x:c r="B11" s="56" t="n">
        <x:v>0.08</x:v>
      </x:c>
      <x:c r="C11" s="56" t="n">
        <x:v>0.095</x:v>
      </x:c>
      <x:c r="D11" s="56" t="n">
        <x:v>0.11</x:v>
      </x:c>
      <x:c r="E11" s="18" t="str">
        <x:v>¥/L</x:v>
      </x:c>
      <x:c r="F11" s="18" t="str">
        <x:v>DERIVED-WORKING</x:v>
      </x:c>
      <x:c r="G11" s="18" t="str">
        <x:v>kerosene-rich controlled cut; broad enough to avoid lamp-grade premium</x:v>
      </x:c>
      <x:c r="H11" s="18" t="str">
        <x:v>joint refinery specification after 1933–35</x:v>
      </x:c>
    </x:row>
    <x:row r="12">
      <x:c r="A12" s="18" t="str">
        <x:v>Joint marine/ground GT distillate</x:v>
      </x:c>
      <x:c r="B12" s="56" t="n">
        <x:v>0.06</x:v>
      </x:c>
      <x:c r="C12" s="56" t="n">
        <x:v>0.075</x:v>
      </x:c>
      <x:c r="D12" s="56" t="n">
        <x:v>0.09</x:v>
      </x:c>
      <x:c r="E12" s="18" t="str">
        <x:v>¥/L</x:v>
      </x:c>
      <x:c r="F12" s="18" t="str">
        <x:v>DERIVED-WORKING</x:v>
      </x:c>
      <x:c r="G12" s="18" t="str">
        <x:v>broader light gas-oil cut; water/sediment/residue controlled</x:v>
      </x:c>
      <x:c r="H12" s="18" t="str">
        <x:v>joint refinery specification after 1933–35</x:v>
      </x:c>
    </x:row>
    <x:row r="13">
      <x:c r="A13" s="18" t="str">
        <x:v>Joint long-life clean distillate</x:v>
      </x:c>
      <x:c r="B13" s="56" t="n">
        <x:v>0.07</x:v>
      </x:c>
      <x:c r="C13" s="56" t="n">
        <x:v>0.085</x:v>
      </x:c>
      <x:c r="D13" s="56" t="n">
        <x:v>0.1</x:v>
      </x:c>
      <x:c r="E13" s="18" t="str">
        <x:v>¥/L</x:v>
      </x:c>
      <x:c r="F13" s="18" t="str">
        <x:v>DERIVED-WORKING</x:v>
      </x:c>
      <x:c r="G13" s="18" t="str">
        <x:v>selected clean middle-distillate; TBO rather than minimum price</x:v>
      </x:c>
      <x:c r="H13" s="18" t="str">
        <x:v>joint refinery specification after 1933–35</x:v>
      </x:c>
    </x:row>
    <x:row r="14">
      <x:c r="A14" s="18" t="str">
        <x:v>Kerosene density</x:v>
      </x:c>
      <x:c r="B14" s="56" t="n">
        <x:v>0.78</x:v>
      </x:c>
      <x:c r="C14" s="56" t="n">
        <x:v>0.8</x:v>
      </x:c>
      <x:c r="D14" s="56" t="n">
        <x:v>0.82</x:v>
      </x:c>
      <x:c r="E14" s="18" t="str">
        <x:v>kg/L</x:v>
      </x:c>
      <x:c r="F14" s="18" t="str">
        <x:v>ENGINEERING</x:v>
      </x:c>
      <x:c r="G14" s="18" t="str">
        <x:v>fuel-volume conversions</x:v>
      </x:c>
      <x:c r="H14" s="18" t="str">
        <x:v>engineering working range</x:v>
      </x:c>
    </x:row>
    <x:row r="15">
      <x:c r="A15" s="18" t="str">
        <x:v>Gas-oil density</x:v>
      </x:c>
      <x:c r="B15" s="56" t="n">
        <x:v>0.82</x:v>
      </x:c>
      <x:c r="C15" s="56" t="n">
        <x:v>0.84</x:v>
      </x:c>
      <x:c r="D15" s="56" t="n">
        <x:v>0.86</x:v>
      </x:c>
      <x:c r="E15" s="18" t="str">
        <x:v>kg/L</x:v>
      </x:c>
      <x:c r="F15" s="18" t="str">
        <x:v>ENGINEERING</x:v>
      </x:c>
      <x:c r="G15" s="18" t="str">
        <x:v>fuel-volume conversions</x:v>
      </x:c>
      <x:c r="H15" s="18" t="str">
        <x:v>engineering working range</x:v>
      </x:c>
    </x:row>
    <x:row r="16">
      <x:c r="A16" s="18" t="str">
        <x:v>Avgas density</x:v>
      </x:c>
      <x:c r="B16" s="56" t="n">
        <x:v>0.7</x:v>
      </x:c>
      <x:c r="C16" s="56" t="n">
        <x:v>0.72</x:v>
      </x:c>
      <x:c r="D16" s="56" t="n">
        <x:v>0.74</x:v>
      </x:c>
      <x:c r="E16" s="18" t="str">
        <x:v>kg/L</x:v>
      </x:c>
      <x:c r="F16" s="18" t="str">
        <x:v>ENGINEERING</x:v>
      </x:c>
      <x:c r="G16" s="18" t="str">
        <x:v>fuel-volume conversions</x:v>
      </x:c>
      <x:c r="H16" s="18" t="str">
        <x:v>engineering working range</x:v>
      </x:c>
    </x:row>
    <x:row r="17">
      <x:c r="A17" s="18" t="str">
        <x:v>Piston 600–700 hp BSFC</x:v>
      </x:c>
      <x:c r="B17" s="56" t="n">
        <x:v>0.24</x:v>
      </x:c>
      <x:c r="C17" s="56" t="n">
        <x:v>0.25</x:v>
      </x:c>
      <x:c r="D17" s="56" t="n">
        <x:v>0.28</x:v>
      </x:c>
      <x:c r="E17" s="18" t="str">
        <x:v>kg/(hp·h)</x:v>
      </x:c>
      <x:c r="F17" s="18" t="str">
        <x:v>DERIVED-WORKING</x:v>
      </x:c>
      <x:c r="G17" s="18" t="str">
        <x:v>military comparison</x:v>
      </x:c>
      <x:c r="H17" s="18" t="str">
        <x:v>period high-grade piston-engine sensitivity</x:v>
      </x:c>
    </x:row>
    <x:row r="18">
      <x:c r="A18" s="18" t="str">
        <x:v>Piston 900–1000 hp BSFC</x:v>
      </x:c>
      <x:c r="B18" s="56" t="n">
        <x:v>0.23</x:v>
      </x:c>
      <x:c r="C18" s="56" t="n">
        <x:v>0.24</x:v>
      </x:c>
      <x:c r="D18" s="56" t="n">
        <x:v>0.27</x:v>
      </x:c>
      <x:c r="E18" s="18" t="str">
        <x:v>kg/(hp·h)</x:v>
      </x:c>
      <x:c r="F18" s="18" t="str">
        <x:v>DERIVED-WORKING</x:v>
      </x:c>
      <x:c r="G18" s="18" t="str">
        <x:v>military comparison</x:v>
      </x:c>
      <x:c r="H18" s="18" t="str">
        <x:v>period high-grade piston-engine sensitivity</x:v>
      </x:c>
    </x:row>
    <x:row r="19">
      <x:c r="B19" s="38"/>
      <x:c r="C19" s="38"/>
      <x:c r="D19" s="38"/>
    </x:row>
    <x:row r="20">
      <x:c r="A20" s="59" t="str">
        <x:v>Historical calibration note</x:v>
      </x:c>
      <x:c r="B20" s="60"/>
      <x:c r="C20" s="60"/>
      <x:c r="D20" s="60"/>
      <x:c r="E20" s="59"/>
      <x:c r="F20" s="59"/>
      <x:c r="G20" s="59"/>
      <x:c r="H20" s="59" t="str">
        <x:v>Japan had a modern two-stage pipe-still/fractionation plant in 1930, vacuum units in 1931 and a domestically engineered continuous distillation unit in 1932; by 1934 the Oil Industry Law pushed domestic refining. A jointly specified middle-distillate is therefore industrially plausible without post-war hydrotreating.</x:v>
      </x:c>
    </x:row>
    <x:row r="21">
      <x:c r="B21" s="38"/>
      <x:c r="C21" s="38"/>
      <x:c r="D21" s="38"/>
    </x:row>
    <x:row r="22">
      <x:c r="B22" s="38"/>
      <x:c r="C22" s="38"/>
      <x:c r="D22" s="38"/>
    </x:row>
    <x:row r="23">
      <x:c r="B23" s="38"/>
      <x:c r="C23" s="38"/>
      <x:c r="D23" s="38"/>
    </x:row>
    <x:row r="24">
      <x:c r="B24" s="38"/>
      <x:c r="C24" s="38"/>
      <x:c r="D24" s="38"/>
    </x:row>
    <x:row r="25">
      <x:c r="B25" s="38"/>
      <x:c r="C25" s="38"/>
      <x:c r="D25" s="38"/>
    </x:row>
    <x:row r="26">
      <x:c r="B26" s="38"/>
      <x:c r="C26" s="38"/>
      <x:c r="D26" s="38"/>
    </x:row>
    <x:row r="27">
      <x:c r="B27" s="38"/>
      <x:c r="C27" s="38"/>
      <x:c r="D27" s="38"/>
    </x:row>
    <x:row r="28">
      <x:c r="B28" s="38"/>
      <x:c r="C28" s="38"/>
      <x:c r="D28" s="38"/>
    </x:row>
    <x:row r="29">
      <x:c r="B29" s="38"/>
      <x:c r="C29" s="38"/>
      <x:c r="D29" s="38"/>
    </x:row>
    <x:row r="30">
      <x:c r="B30" s="38"/>
      <x:c r="C30" s="38"/>
      <x:c r="D30" s="38"/>
    </x:row>
  </x:sheetData>
  <x:mergeCells>
    <x:mergeCell ref="A1:H1"/>
    <x:mergeCell ref="A20:G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30" hidden="0" customWidth="1"/>
    <x:col min="5" max="5" width="10" hidden="0" customWidth="1"/>
    <x:col min="6" max="6" width="55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4" hidden="0" customWidth="1"/>
    <x:col min="13" max="13" width="30" hidden="0" customWidth="1"/>
    <x:col min="14" max="14" width="14" hidden="0" customWidth="1"/>
    <x:col min="15" max="15" width="14" hidden="0" customWidth="1"/>
    <x:col min="16" max="16" width="54" hidden="0" customWidth="1"/>
    <x:col min="17" max="17" width="20" hidden="0" customWidth="1"/>
  </x:cols>
  <x:sheetData>
    <x:row r="1" ht="26" customHeight="1">
      <x:c r="A1" s="49" t="str">
        <x:v>Asai GT Powerplant Price Envelope — ex-factory nominal yen, engine/module only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</x:row>
    <x:row r="3">
      <x:c r="A3" s="53" t="str">
        <x:v>ID</x:v>
      </x:c>
      <x:c r="B3" s="53" t="str">
        <x:v>Window</x:v>
      </x:c>
      <x:c r="C3" s="53" t="str">
        <x:v>Gen</x:v>
      </x:c>
      <x:c r="D3" s="53" t="str">
        <x:v>Rear-end / use</x:v>
      </x:c>
      <x:c r="E3" s="53" t="str">
        <x:v>Main rating</x:v>
      </x:c>
      <x:c r="F3" s="53" t="str">
        <x:v>Metric</x:v>
      </x:c>
      <x:c r="G3" s="53" t="str">
        <x:v>Capability</x:v>
      </x:c>
      <x:c r="H3" s="53" t="str">
        <x:v>Current low-rate ¥k</x:v>
      </x:c>
      <x:c r="I3" s="53" t="str">
        <x:v>Current high ¥k</x:v>
      </x:c>
      <x:c r="J3" s="53" t="str">
        <x:v>Single-type mass ¥k</x:v>
      </x:c>
      <x:c r="K3" s="53" t="str">
        <x:v>Family-scale mass ¥k</x:v>
      </x:c>
      <x:c r="L3" s="53" t="str">
        <x:v>Family vs current</x:v>
      </x:c>
      <x:c r="M3" s="53" t="str">
        <x:v>Comparator</x:v>
      </x:c>
      <x:c r="N3" s="53" t="str">
        <x:v>Comparator ¥k low</x:v>
      </x:c>
      <x:c r="O3" s="53" t="str">
        <x:v>Comparator ¥k high</x:v>
      </x:c>
      <x:c r="P3" s="53" t="str">
        <x:v>Assessment</x:v>
      </x:c>
      <x:c r="Q3" s="53" t="str">
        <x:v>Status</x:v>
      </x:c>
    </x:row>
    <x:row r="4">
      <x:c r="A4" s="18" t="str">
        <x:v>E4-GS</x:v>
      </x:c>
      <x:c r="B4" s="18" t="str">
        <x:v>1931–34</x:v>
      </x:c>
      <x:c r="C4" s="18" t="str">
        <x:v>E4</x:v>
      </x:c>
      <x:c r="D4" s="18" t="str">
        <x:v>simple shaft / stationary</x:v>
      </x:c>
      <x:c r="E4" s="18" t="str">
        <x:v>N/H</x:v>
      </x:c>
      <x:c r="F4" s="18" t="str">
        <x:v>kW</x:v>
      </x:c>
      <x:c r="G4" s="18" t="n">
        <x:v>507</x:v>
      </x:c>
      <x:c r="H4" s="66" t="n">
        <x:v>28</x:v>
      </x:c>
      <x:c r="I4" s="66" t="n">
        <x:v>36</x:v>
      </x:c>
      <x:c r="J4" s="66" t="n">
        <x:v>22</x:v>
      </x:c>
      <x:c r="K4" s="66" t="n">
        <x:v>18</x:v>
      </x:c>
      <x:c r="L4" s="67" t="n">
        <x:f>K4/AVERAGE(H4:I4)</x:f>
        <x:v>0.5625</x:v>
      </x:c>
      <x:c r="M4" s="68" t="str">
        <x:v>high-speed diesel / steam-drive package</x:v>
      </x:c>
      <x:c r="N4" s="66" t="n">
        <x:v>16</x:v>
      </x:c>
      <x:c r="O4" s="66" t="n">
        <x:v>24</x:v>
      </x:c>
      <x:c r="P4" s="18" t="str">
        <x:v>Acquisition premium at first; compact/rapid-start/commonality are the case</x:v>
      </x:c>
      <x:c r="Q4" s="18" t="str">
        <x:v>DERIVED-WORKING</x:v>
      </x:c>
    </x:row>
    <x:row r="5">
      <x:c r="A5" s="18" t="str">
        <x:v>E4-GR</x:v>
      </x:c>
      <x:c r="B5" s="18" t="str">
        <x:v>1931–35</x:v>
      </x:c>
      <x:c r="C5" s="18" t="str">
        <x:v>E4</x:v>
      </x:c>
      <x:c r="D5" s="18" t="str">
        <x:v>regenerated shaft / stationary long-duty</x:v>
      </x:c>
      <x:c r="E5" s="18" t="str">
        <x:v>C/L</x:v>
      </x:c>
      <x:c r="F5" s="18" t="str">
        <x:v>kW</x:v>
      </x:c>
      <x:c r="G5" s="18" t="n">
        <x:v>468</x:v>
      </x:c>
      <x:c r="H5" s="66" t="n">
        <x:v>36</x:v>
      </x:c>
      <x:c r="I5" s="66" t="n">
        <x:v>46</x:v>
      </x:c>
      <x:c r="J5" s="66" t="n">
        <x:v>30</x:v>
      </x:c>
      <x:c r="K5" s="66" t="n">
        <x:v>25</x:v>
      </x:c>
      <x:c r="L5" s="67" t="n">
        <x:f>K5/AVERAGE(H5:I5)</x:f>
        <x:v>0.6097560975609756</x:v>
      </x:c>
      <x:c r="M5" s="68" t="str">
        <x:v>diesel genset / steam-drive package</x:v>
      </x:c>
      <x:c r="N5" s="66" t="n">
        <x:v>18</x:v>
      </x:c>
      <x:c r="O5" s="66" t="n">
        <x:v>28</x:v>
      </x:c>
      <x:c r="P5" s="18" t="str">
        <x:v>Regenerator costs money; fuel/TBO case must justify it</x:v>
      </x:c>
      <x:c r="Q5" s="18" t="str">
        <x:v>DERIVED-WORKING</x:v>
      </x:c>
    </x:row>
    <x:row r="6">
      <x:c r="A6" s="18" t="str">
        <x:v>E4-TPA</x:v>
      </x:c>
      <x:c r="B6" s="18" t="str">
        <x:v>1931–34</x:v>
      </x:c>
      <x:c r="C6" s="18" t="str">
        <x:v>E4</x:v>
      </x:c>
      <x:c r="D6" s="18" t="str">
        <x:v>free turbine + reduction / aviation TP</x:v>
      </x:c>
      <x:c r="E6" s="18" t="str">
        <x:v>N/H</x:v>
      </x:c>
      <x:c r="F6" s="18" t="str">
        <x:v>hp</x:v>
      </x:c>
      <x:c r="G6" s="18" t="n">
        <x:v>630</x:v>
      </x:c>
      <x:c r="H6" s="66" t="n">
        <x:v>40</x:v>
      </x:c>
      <x:c r="I6" s="66" t="n">
        <x:v>52</x:v>
      </x:c>
      <x:c r="J6" s="66" t="n">
        <x:v>34</x:v>
      </x:c>
      <x:c r="K6" s="66" t="n">
        <x:v>28</x:v>
      </x:c>
      <x:c r="L6" s="67" t="n">
        <x:f>K6/AVERAGE(H6:I6)</x:f>
        <x:v>0.6086956521739131</x:v>
      </x:c>
      <x:c r="M6" s="68" t="str">
        <x:v>600–700 hp piston aero engine</x:v>
      </x:c>
      <x:c r="N6" s="66" t="n">
        <x:v>25</x:v>
      </x:c>
      <x:c r="O6" s="66" t="n">
        <x:v>35</x:v>
      </x:c>
      <x:c r="P6" s="18" t="str">
        <x:v>Low-rate GT is expensive; family-scale approaches high-grade piston price</x:v>
      </x:c>
      <x:c r="Q6" s="18" t="str">
        <x:v>DERIVED-WORKING</x:v>
      </x:c>
    </x:row>
    <x:row r="7">
      <x:c r="A7" s="18" t="str">
        <x:v>E4-JA</x:v>
      </x:c>
      <x:c r="B7" s="18" t="str">
        <x:v>1932–34</x:v>
      </x:c>
      <x:c r="C7" s="18" t="str">
        <x:v>E4</x:v>
      </x:c>
      <x:c r="D7" s="18" t="str">
        <x:v>pure jet / aviation demonstrator</x:v>
      </x:c>
      <x:c r="E7" s="18" t="str">
        <x:v>H</x:v>
      </x:c>
      <x:c r="F7" s="18" t="str">
        <x:v>kgf</x:v>
      </x:c>
      <x:c r="G7" s="18" t="n">
        <x:v>315</x:v>
      </x:c>
      <x:c r="H7" s="66" t="n">
        <x:v>30</x:v>
      </x:c>
      <x:c r="I7" s="66" t="n">
        <x:v>40</x:v>
      </x:c>
      <x:c r="J7" s="66" t="n">
        <x:v>25</x:v>
      </x:c>
      <x:c r="K7" s="66" t="n">
        <x:v>21</x:v>
      </x:c>
      <x:c r="L7" s="67" t="n">
        <x:f>K7/AVERAGE(H7:I7)</x:f>
        <x:v>0.6</x:v>
      </x:c>
      <x:c r="M7" s="68" t="str">
        <x:v>600–700 hp piston aero engine</x:v>
      </x:c>
      <x:c r="N7" s="66" t="n">
        <x:v>25</x:v>
      </x:c>
      <x:c r="O7" s="66" t="n">
        <x:v>35</x:v>
      </x:c>
      <x:c r="P7" s="18" t="str">
        <x:v>Engine hardware not outrageous; aircraft/range/TBO, not purchase price, are the obstacle</x:v>
      </x:c>
      <x:c r="Q7" s="18" t="str">
        <x:v>DERIVED-WORKING</x:v>
      </x:c>
    </x:row>
    <x:row r="8">
      <x:c r="A8" s="18" t="str">
        <x:v>E4-MC</x:v>
      </x:c>
      <x:c r="B8" s="18" t="str">
        <x:v>1932–35</x:v>
      </x:c>
      <x:c r="C8" s="18" t="str">
        <x:v>E4</x:v>
      </x:c>
      <x:c r="D8" s="18" t="str">
        <x:v>free turbine / marine continuous</x:v>
      </x:c>
      <x:c r="E8" s="18" t="str">
        <x:v>C/N</x:v>
      </x:c>
      <x:c r="F8" s="18" t="str">
        <x:v>hp</x:v>
      </x:c>
      <x:c r="G8" s="18" t="n">
        <x:v>590</x:v>
      </x:c>
      <x:c r="H8" s="66" t="n">
        <x:v>34</x:v>
      </x:c>
      <x:c r="I8" s="66" t="n">
        <x:v>44</x:v>
      </x:c>
      <x:c r="J8" s="66" t="n">
        <x:v>28</x:v>
      </x:c>
      <x:c r="K8" s="66" t="n">
        <x:v>23</x:v>
      </x:c>
      <x:c r="L8" s="67" t="n">
        <x:f>K8/AVERAGE(H8:I8)</x:f>
        <x:v>0.5897435897435898</x:v>
      </x:c>
      <x:c r="M8" s="68" t="str">
        <x:v>500–700 hp marine/high-speed diesel</x:v>
      </x:c>
      <x:c r="N8" s="66" t="n">
        <x:v>20</x:v>
      </x:c>
      <x:c r="O8" s="66" t="n">
        <x:v>30</x:v>
      </x:c>
      <x:c r="P8" s="18" t="str">
        <x:v>GT premium, but compactness/low vibration/rapid start matter</x:v>
      </x:c>
      <x:c r="Q8" s="18" t="str">
        <x:v>DERIVED-WORKING</x:v>
      </x:c>
    </x:row>
    <x:row r="9">
      <x:c r="A9" s="18" t="str">
        <x:v>E5-GC</x:v>
      </x:c>
      <x:c r="B9" s="18" t="str">
        <x:v>1935–38</x:v>
      </x:c>
      <x:c r="C9" s="18" t="str">
        <x:v>E5</x:v>
      </x:c>
      <x:c r="D9" s="18" t="str">
        <x:v>shaft / generator &amp; process</x:v>
      </x:c>
      <x:c r="E9" s="18" t="str">
        <x:v>C/L</x:v>
      </x:c>
      <x:c r="F9" s="18" t="str">
        <x:v>kW</x:v>
      </x:c>
      <x:c r="G9" s="18" t="n">
        <x:v>630</x:v>
      </x:c>
      <x:c r="H9" s="66" t="n">
        <x:v>34</x:v>
      </x:c>
      <x:c r="I9" s="66" t="n">
        <x:v>44</x:v>
      </x:c>
      <x:c r="J9" s="66" t="n">
        <x:v>29</x:v>
      </x:c>
      <x:c r="K9" s="66" t="n">
        <x:v>24</x:v>
      </x:c>
      <x:c r="L9" s="67" t="n">
        <x:f>K9/AVERAGE(H9:I9)</x:f>
        <x:v>0.6153846153846154</x:v>
      </x:c>
      <x:c r="M9" s="68" t="str">
        <x:v>600–800 kW diesel/steam package</x:v>
      </x:c>
      <x:c r="N9" s="66" t="n">
        <x:v>24</x:v>
      </x:c>
      <x:c r="O9" s="66" t="n">
        <x:v>36</x:v>
      </x:c>
      <x:c r="P9" s="18" t="str">
        <x:v>At family scale acquisition can be competitive; fuel efficiency remains the main objection</x:v>
      </x:c>
      <x:c r="Q9" s="18" t="str">
        <x:v>DERIVED-WORKING</x:v>
      </x:c>
    </x:row>
    <x:row r="10">
      <x:c r="A10" s="18" t="str">
        <x:v>E5-TPN</x:v>
      </x:c>
      <x:c r="B10" s="18" t="str">
        <x:v>1935–38</x:v>
      </x:c>
      <x:c r="C10" s="18" t="str">
        <x:v>E5</x:v>
      </x:c>
      <x:c r="D10" s="18" t="str">
        <x:v>TP / aviation practical family</x:v>
      </x:c>
      <x:c r="E10" s="18" t="str">
        <x:v>N/H</x:v>
      </x:c>
      <x:c r="F10" s="18" t="str">
        <x:v>hp</x:v>
      </x:c>
      <x:c r="G10" s="18" t="n">
        <x:v>1000</x:v>
      </x:c>
      <x:c r="H10" s="66" t="n">
        <x:v>44</x:v>
      </x:c>
      <x:c r="I10" s="66" t="n">
        <x:v>58</x:v>
      </x:c>
      <x:c r="J10" s="66" t="n">
        <x:v>36</x:v>
      </x:c>
      <x:c r="K10" s="66" t="n">
        <x:v>30</x:v>
      </x:c>
      <x:c r="L10" s="67" t="n">
        <x:f>K10/AVERAGE(H10:I10)</x:f>
        <x:v>0.5882352941176471</x:v>
      </x:c>
      <x:c r="M10" s="68" t="str">
        <x:v>900–1000 hp piston aero engine</x:v>
      </x:c>
      <x:c r="N10" s="66" t="n">
        <x:v>30</x:v>
      </x:c>
      <x:c r="O10" s="66" t="n">
        <x:v>42</x:v>
      </x:c>
      <x:c r="P10" s="18" t="str">
        <x:v>Current low-rate premium; ordinary mass production near parity; family mass can undercut</x:v>
      </x:c>
      <x:c r="Q10" s="18" t="str">
        <x:v>DERIVED-WORKING</x:v>
      </x:c>
    </x:row>
    <x:row r="11">
      <x:c r="A11" s="18" t="str">
        <x:v>E5-J</x:v>
      </x:c>
      <x:c r="B11" s="18" t="str">
        <x:v>1936–38</x:v>
      </x:c>
      <x:c r="C11" s="18" t="str">
        <x:v>E5</x:v>
      </x:c>
      <x:c r="D11" s="18" t="str">
        <x:v>pure jet / high-speed aviation</x:v>
      </x:c>
      <x:c r="E11" s="18" t="str">
        <x:v>H</x:v>
      </x:c>
      <x:c r="F11" s="18" t="str">
        <x:v>kgf</x:v>
      </x:c>
      <x:c r="G11" s="18" t="n">
        <x:v>450</x:v>
      </x:c>
      <x:c r="H11" s="66" t="n">
        <x:v>34</x:v>
      </x:c>
      <x:c r="I11" s="66" t="n">
        <x:v>46</x:v>
      </x:c>
      <x:c r="J11" s="66" t="n">
        <x:v>28</x:v>
      </x:c>
      <x:c r="K11" s="66" t="n">
        <x:v>23</x:v>
      </x:c>
      <x:c r="L11" s="67" t="n">
        <x:f>K11/AVERAGE(H11:I11)</x:f>
        <x:v>0.575</x:v>
      </x:c>
      <x:c r="M11" s="68" t="str">
        <x:v>900–1000 hp piston aero engine</x:v>
      </x:c>
      <x:c r="N11" s="66" t="n">
        <x:v>30</x:v>
      </x:c>
      <x:c r="O11" s="66" t="n">
        <x:v>42</x:v>
      </x:c>
      <x:c r="P11" s="18" t="str">
        <x:v>At scale the jet module is cheaper than a complex high-output piston engine</x:v>
      </x:c>
      <x:c r="Q11" s="18" t="str">
        <x:v>DERIVED-WORKING</x:v>
      </x:c>
    </x:row>
    <x:row r="12">
      <x:c r="A12" s="18" t="str">
        <x:v>E5-AF</x:v>
      </x:c>
      <x:c r="B12" s="18" t="str">
        <x:v>1936–38</x:v>
      </x:c>
      <x:c r="C12" s="18" t="str">
        <x:v>E5</x:v>
      </x:c>
      <x:c r="D12" s="18" t="str">
        <x:v>aft/out fan / aviation audit</x:v>
      </x:c>
      <x:c r="E12" s="18" t="str">
        <x:v>N/H</x:v>
      </x:c>
      <x:c r="F12" s="18" t="str">
        <x:v>kgf</x:v>
      </x:c>
      <x:c r="G12" s="18" t="n">
        <x:v>545</x:v>
      </x:c>
      <x:c r="H12" s="66" t="n">
        <x:v>47</x:v>
      </x:c>
      <x:c r="I12" s="66" t="n">
        <x:v>62</x:v>
      </x:c>
      <x:c r="J12" s="66" t="n">
        <x:v>40</x:v>
      </x:c>
      <x:c r="K12" s="66" t="n">
        <x:v>33</x:v>
      </x:c>
      <x:c r="L12" s="67" t="n">
        <x:f>K12/AVERAGE(H12:I12)</x:f>
        <x:v>0.6055045871559633</x:v>
      </x:c>
      <x:c r="M12" s="68" t="str">
        <x:v>E5 pure jet module</x:v>
      </x:c>
      <x:c r="N12" s="66" t="n">
        <x:v>23</x:v>
      </x:c>
      <x:c r="O12" s="66" t="n">
        <x:v>28</x:v>
      </x:c>
      <x:c r="P12" s="18" t="str">
        <x:v>Fan costs ~25–40% more than pure; it must repay through mission fuel/range/field performance</x:v>
      </x:c>
      <x:c r="Q12" s="18" t="str">
        <x:v>DERIVED-OPEN</x:v>
      </x:c>
    </x:row>
    <x:row r="13">
      <x:c r="A13" s="18" t="str">
        <x:v>E5-MC</x:v>
      </x:c>
      <x:c r="B13" s="18" t="str">
        <x:v>1935–38</x:v>
      </x:c>
      <x:c r="C13" s="18" t="str">
        <x:v>E5</x:v>
      </x:c>
      <x:c r="D13" s="18" t="str">
        <x:v>marine continuous / long-life</x:v>
      </x:c>
      <x:c r="E13" s="18" t="str">
        <x:v>C/L</x:v>
      </x:c>
      <x:c r="F13" s="18" t="str">
        <x:v>hp</x:v>
      </x:c>
      <x:c r="G13" s="18" t="n">
        <x:v>815</x:v>
      </x:c>
      <x:c r="H13" s="66" t="n">
        <x:v>38</x:v>
      </x:c>
      <x:c r="I13" s="66" t="n">
        <x:v>50</x:v>
      </x:c>
      <x:c r="J13" s="66" t="n">
        <x:v>32</x:v>
      </x:c>
      <x:c r="K13" s="66" t="n">
        <x:v>27</x:v>
      </x:c>
      <x:c r="L13" s="67" t="n">
        <x:f>K13/AVERAGE(H13:I13)</x:f>
        <x:v>0.6136363636363636</x:v>
      </x:c>
      <x:c r="M13" s="68" t="str">
        <x:v>800–1000 hp high-speed marine diesel</x:v>
      </x:c>
      <x:c r="N13" s="66" t="n">
        <x:v>28</x:v>
      </x:c>
      <x:c r="O13" s="66" t="n">
        <x:v>42</x:v>
      </x:c>
      <x:c r="P13" s="18" t="str">
        <x:v>Near parity only at scale; GT chosen for density/commonality, not base-load fuel economy</x:v>
      </x:c>
      <x:c r="Q13" s="18" t="str">
        <x:v>DERIVED-WORKING</x:v>
      </x:c>
    </x:row>
    <x:row r="14">
      <x:c r="A14" s="18" t="str">
        <x:v>E5-MS</x:v>
      </x:c>
      <x:c r="B14" s="18" t="str">
        <x:v>1935–38</x:v>
      </x:c>
      <x:c r="C14" s="18" t="str">
        <x:v>E5</x:v>
      </x:c>
      <x:c r="D14" s="18" t="str">
        <x:v>marine short/normal</x:v>
      </x:c>
      <x:c r="E14" s="18" t="str">
        <x:v>H/N</x:v>
      </x:c>
      <x:c r="F14" s="18" t="str">
        <x:v>hp</x:v>
      </x:c>
      <x:c r="G14" s="18" t="n">
        <x:v>1000</x:v>
      </x:c>
      <x:c r="H14" s="66" t="n">
        <x:v>40</x:v>
      </x:c>
      <x:c r="I14" s="66" t="n">
        <x:v>52</x:v>
      </x:c>
      <x:c r="J14" s="66" t="n">
        <x:v>34</x:v>
      </x:c>
      <x:c r="K14" s="66" t="n">
        <x:v>28</x:v>
      </x:c>
      <x:c r="L14" s="67" t="n">
        <x:f>K14/AVERAGE(H14:I14)</x:f>
        <x:v>0.6086956521739131</x:v>
      </x:c>
      <x:c r="M14" s="68" t="str">
        <x:v>900–1100 hp marine diesel</x:v>
      </x:c>
      <x:c r="N14" s="66" t="n">
        <x:v>30</x:v>
      </x:c>
      <x:c r="O14" s="66" t="n">
        <x:v>45</x:v>
      </x:c>
      <x:c r="P14" s="18" t="str">
        <x:v>Competitive hardware once shared production exists</x:v>
      </x:c>
      <x:c r="Q14" s="18" t="str">
        <x:v>DERIVED-WORKING</x:v>
      </x:c>
    </x:row>
    <x:row r="15">
      <x:c r="A15" s="18" t="str">
        <x:v>E6-S</x:v>
      </x:c>
      <x:c r="B15" s="18" t="str">
        <x:v>1938–41</x:v>
      </x:c>
      <x:c r="C15" s="18" t="str">
        <x:v>E6</x:v>
      </x:c>
      <x:c r="D15" s="18" t="str">
        <x:v>small high-output shaft</x:v>
      </x:c>
      <x:c r="E15" s="18" t="str">
        <x:v>N/H</x:v>
      </x:c>
      <x:c r="F15" s="18" t="str">
        <x:v>hp</x:v>
      </x:c>
      <x:c r="G15" s="18" t="n">
        <x:v>1400</x:v>
      </x:c>
      <x:c r="H15" s="66" t="n">
        <x:v>50</x:v>
      </x:c>
      <x:c r="I15" s="66" t="n">
        <x:v>66</x:v>
      </x:c>
      <x:c r="J15" s="66" t="n">
        <x:v>43</x:v>
      </x:c>
      <x:c r="K15" s="66" t="n">
        <x:v>35</x:v>
      </x:c>
      <x:c r="L15" s="67" t="n">
        <x:f>K15/AVERAGE(H15:I15)</x:f>
        <x:v>0.603448275862069</x:v>
      </x:c>
      <x:c r="M15" s="68" t="str">
        <x:v>1300–1500 hp piston aero / marine high-speed diesel</x:v>
      </x:c>
      <x:c r="N15" s="66" t="n">
        <x:v>42</x:v>
      </x:c>
      <x:c r="O15" s="66" t="n">
        <x:v>60</x:v>
      </x:c>
      <x:c r="P15" s="18" t="str">
        <x:v>Family scale begins to show strong ¥/hp advantage</x:v>
      </x:c>
      <x:c r="Q15" s="18" t="str">
        <x:v>DERIVED from FIXED capability</x:v>
      </x:c>
    </x:row>
    <x:row r="16">
      <x:c r="A16" s="18" t="str">
        <x:v>E6-M-N</x:v>
      </x:c>
      <x:c r="B16" s="18" t="str">
        <x:v>1938–41</x:v>
      </x:c>
      <x:c r="C16" s="18" t="str">
        <x:v>E6</x:v>
      </x:c>
      <x:c r="D16" s="18" t="str">
        <x:v>M shaft / marine-TP input</x:v>
      </x:c>
      <x:c r="E16" s="18" t="str">
        <x:v>N/C</x:v>
      </x:c>
      <x:c r="F16" s="18" t="str">
        <x:v>hp</x:v>
      </x:c>
      <x:c r="G16" s="18" t="n">
        <x:v>2050</x:v>
      </x:c>
      <x:c r="H16" s="66" t="n">
        <x:v>75</x:v>
      </x:c>
      <x:c r="I16" s="66" t="n">
        <x:v>96</x:v>
      </x:c>
      <x:c r="J16" s="66" t="n">
        <x:v>64</x:v>
      </x:c>
      <x:c r="K16" s="66" t="n">
        <x:v>52</x:v>
      </x:c>
      <x:c r="L16" s="67" t="n">
        <x:f>K16/AVERAGE(H16:I16)</x:f>
        <x:v>0.6081871345029239</x:v>
      </x:c>
      <x:c r="M16" s="68" t="str">
        <x:v>~2000 hp piston/diesel alternative</x:v>
      </x:c>
      <x:c r="N16" s="66" t="n">
        <x:v>60</x:v>
      </x:c>
      <x:c r="O16" s="66" t="n">
        <x:v>90</x:v>
      </x:c>
      <x:c r="P16" s="18" t="str">
        <x:v>Large module expensive in absolute terms but attractive per hp</x:v>
      </x:c>
      <x:c r="Q16" s="18" t="str">
        <x:v>DERIVED from FIXED capability</x:v>
      </x:c>
    </x:row>
    <x:row r="17">
      <x:c r="A17" s="18" t="str">
        <x:v>E6-MJ</x:v>
      </x:c>
      <x:c r="B17" s="18" t="str">
        <x:v>1938–41</x:v>
      </x:c>
      <x:c r="C17" s="18" t="str">
        <x:v>E6</x:v>
      </x:c>
      <x:c r="D17" s="18" t="str">
        <x:v>M pure jet</x:v>
      </x:c>
      <x:c r="E17" s="18" t="str">
        <x:v>H/N</x:v>
      </x:c>
      <x:c r="F17" s="18" t="str">
        <x:v>kgf</x:v>
      </x:c>
      <x:c r="G17" s="18" t="n">
        <x:v>875</x:v>
      </x:c>
      <x:c r="H17" s="66" t="n">
        <x:v>65</x:v>
      </x:c>
      <x:c r="I17" s="66" t="n">
        <x:v>86</x:v>
      </x:c>
      <x:c r="J17" s="66" t="n">
        <x:v>56</x:v>
      </x:c>
      <x:c r="K17" s="66" t="n">
        <x:v>45</x:v>
      </x:c>
      <x:c r="L17" s="67" t="n">
        <x:f>K17/AVERAGE(H17:I17)</x:f>
        <x:v>0.5960264900662252</x:v>
      </x:c>
      <x:c r="M17" s="68" t="str">
        <x:v>high-output piston aero-engine set</x:v>
      </x:c>
      <x:c r="N17" s="66" t="n">
        <x:v>60</x:v>
      </x:c>
      <x:c r="O17" s="66" t="n">
        <x:v>90</x:v>
      </x:c>
      <x:c r="P17" s="18" t="str">
        <x:v>Simple rear-end plus common core gives strong acquisition-cost potential</x:v>
      </x:c>
      <x:c r="Q17" s="18" t="str">
        <x:v>DERIVED from FIXED capability</x:v>
      </x:c>
    </x:row>
    <x:row r="18">
      <x:c r="A18" s="18" t="str">
        <x:v>E6-MF</x:v>
      </x:c>
      <x:c r="B18" s="18" t="str">
        <x:v>1938–41</x:v>
      </x:c>
      <x:c r="C18" s="18" t="str">
        <x:v>E6</x:v>
      </x:c>
      <x:c r="D18" s="18" t="str">
        <x:v>M aft fan</x:v>
      </x:c>
      <x:c r="E18" s="18" t="str">
        <x:v>N/H</x:v>
      </x:c>
      <x:c r="F18" s="18" t="str">
        <x:v>kgf</x:v>
      </x:c>
      <x:c r="G18" s="18" t="n">
        <x:v>975</x:v>
      </x:c>
      <x:c r="H18" s="66" t="n">
        <x:v>80</x:v>
      </x:c>
      <x:c r="I18" s="66" t="n">
        <x:v>105</x:v>
      </x:c>
      <x:c r="J18" s="66" t="n">
        <x:v>70</x:v>
      </x:c>
      <x:c r="K18" s="66" t="n">
        <x:v>57</x:v>
      </x:c>
      <x:c r="L18" s="67" t="n">
        <x:f>K18/AVERAGE(H18:I18)</x:f>
        <x:v>0.6162162162162163</x:v>
      </x:c>
      <x:c r="M18" s="68" t="str">
        <x:v>E6 pure jet module</x:v>
      </x:c>
      <x:c r="N18" s="66" t="n">
        <x:v>45</x:v>
      </x:c>
      <x:c r="O18" s="66" t="n">
        <x:v>56</x:v>
      </x:c>
      <x:c r="P18" s="18" t="str">
        <x:v>Higher purchase cost is traded for lower TSFC and better static thrust</x:v>
      </x:c>
      <x:c r="Q18" s="18" t="str">
        <x:v>DERIVED from FIXED capability</x:v>
      </x:c>
    </x:row>
    <x:row r="21">
      <x:c r="A21" s="70" t="str">
        <x:v>Historical comparator anchors (not direct Japanese procurement quotes)</x:v>
      </x:c>
      <x:c r="B21" s="70"/>
      <x:c r="C21" s="70"/>
      <x:c r="D21" s="70"/>
      <x:c r="E21" s="70"/>
      <x:c r="F21" s="70"/>
      <x:c r="G21" s="70"/>
      <x:c r="H21" s="70"/>
      <x:c r="I21" s="70"/>
      <x:c r="J21" s="70"/>
      <x:c r="K21" s="70"/>
      <x:c r="L21" s="70"/>
      <x:c r="M21" s="70"/>
      <x:c r="N21" s="70"/>
      <x:c r="O21" s="70"/>
      <x:c r="P21" s="70"/>
      <x:c r="Q21" s="70"/>
    </x:row>
    <x:row r="22">
      <x:c r="A22" s="53" t="str">
        <x:v>Anchor</x:v>
      </x:c>
      <x:c r="B22" s="53" t="str">
        <x:v>Native price</x:v>
      </x:c>
      <x:c r="C22" s="53" t="str">
        <x:v>Converted ¥</x:v>
      </x:c>
      <x:c r="D22" s="53" t="str">
        <x:v>Power / scope</x:v>
      </x:c>
      <x:c r="E22" s="53" t="str">
        <x:v>Interpretation</x:v>
      </x:c>
      <x:c r="F22" s="53" t="str">
        <x:v>Source</x:v>
      </x:c>
    </x:row>
    <x:row r="23">
      <x:c r="A23" t="str">
        <x:v>Rolls-Royce Kestrel (1934)</x:v>
      </x:c>
      <x:c r="B23" t="str">
        <x:v>£2,051</x:v>
      </x:c>
      <x:c r="C23" s="71" t="n">
        <x:f>2051*'09_COST_ASSUMPTIONS'!C5*'09_COST_ASSUMPTIONS'!C4</x:f>
        <x:v>34422.3432</x:v>
      </x:c>
      <x:c r="D23" t="str">
        <x:v>~700 hp</x:v>
      </x:c>
      <x:c r="E23" t="str">
        <x:v>high-quality production aero-engine upper anchor</x:v>
      </x:c>
      <x:c r="F23" t="str">
        <x:v>https://ipfs.basearchive.ai/ipfs/QmXoypizjW3WknFiJnKLwHCnL72vedxjQkDDP1mXWo6uco/wiki/Rolls-Royce_Kestrel.html</x:v>
      </x:c>
    </x:row>
    <x:row r="24">
      <x:c r="A24" t="str">
        <x:v>US commercial engines avg. (1934)</x:v>
      </x:c>
      <x:c r="B24" t="str">
        <x:v>$5,015</x:v>
      </x:c>
      <x:c r="C24" s="71" t="n">
        <x:f>5015*'09_COST_ASSUMPTIONS'!C4</x:f>
        <x:v>16699.95</x:v>
      </x:c>
      <x:c r="D24" t="str">
        <x:v>all commercial engine mix</x:v>
      </x:c>
      <x:c r="E24" t="str">
        <x:v>market-average lower anchor; includes lower-power engines</x:v>
      </x:c>
      <x:c r="F24" t="str">
        <x:v>https://www.scribd.com/document/501371624/THE-1935-AIRCRAFT-YEAR-BOOK</x:v>
      </x:c>
    </x:row>
  </x:sheetData>
  <x:mergeCells>
    <x:mergeCell ref="A1:Q1"/>
    <x:mergeCell ref="A21:Q21"/>
  </x:mergeCells>
  <x:conditionalFormatting sqref="L4:L18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  <x:col min="9" max="9" width="14" hidden="0" customWidth="1"/>
    <x:col min="10" max="10" width="44" hidden="0" customWidth="1"/>
    <x:col min="11" max="11" width="42" hidden="0" customWidth="1"/>
    <x:col min="12" max="12" width="48" hidden="0" customWidth="1"/>
    <x:col min="13" max="13" width="20" hidden="0" customWidth="1"/>
  </x:cols>
  <x:sheetData>
    <x:row r="1" ht="26" customHeight="1">
      <x:c r="A1" s="49" t="str">
        <x:v>Fuel Procurement Envelope — current available fuels vs jointly specified GT distillates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</x:row>
    <x:row r="3">
      <x:c r="A3" s="53" t="str">
        <x:v>Fuel</x:v>
      </x:c>
      <x:c r="B3" s="53" t="str">
        <x:v>Primary use</x:v>
      </x:c>
      <x:c r="C3" s="53" t="str">
        <x:v>Availability</x:v>
      </x:c>
      <x:c r="D3" s="53" t="str">
        <x:v>Low ¥/L</x:v>
      </x:c>
      <x:c r="E3" s="53" t="str">
        <x:v>Base ¥/L</x:v>
      </x:c>
      <x:c r="F3" s="53" t="str">
        <x:v>High ¥/L</x:v>
      </x:c>
      <x:c r="G3" s="53" t="str">
        <x:v>Density kg/L</x:v>
      </x:c>
      <x:c r="H3" s="53" t="str">
        <x:v>¥/kg base</x:v>
      </x:c>
      <x:c r="I3" s="53" t="str">
        <x:v>Relative to avgas</x:v>
      </x:c>
      <x:c r="J3" s="53" t="str">
        <x:v>Technical fit</x:v>
      </x:c>
      <x:c r="K3" s="53" t="str">
        <x:v>Refinery action</x:v>
      </x:c>
      <x:c r="L3" s="53" t="str">
        <x:v>Military/logistics reading</x:v>
      </x:c>
      <x:c r="M3" s="53" t="str">
        <x:v>Status</x:v>
      </x:c>
    </x:row>
    <x:row r="4">
      <x:c r="A4" s="18" t="str">
        <x:v>Aviation gasoline 80/87</x:v>
      </x:c>
      <x:c r="B4" s="18" t="str">
        <x:v>piston aviation</x:v>
      </x:c>
      <x:c r="C4" s="18" t="str">
        <x:v>current</x:v>
      </x:c>
      <x:c r="D4" s="56" t="n">
        <x:v>0.18</x:v>
      </x:c>
      <x:c r="E4" s="56" t="n">
        <x:v>0.2</x:v>
      </x:c>
      <x:c r="F4" s="56" t="n">
        <x:v>0.24</x:v>
      </x:c>
      <x:c r="G4" s="56" t="n">
        <x:v>0.72</x:v>
      </x:c>
      <x:c r="H4" s="74" t="n">
        <x:f>E4/G4</x:f>
        <x:v>0.2777777777777778</x:v>
      </x:c>
      <x:c r="I4" s="74" t="n">
        <x:f>E4/$E$4</x:f>
        <x:v>1</x:v>
      </x:c>
      <x:c r="J4" s="18" t="str">
        <x:v>excellent for piston; unnecessary octane premium for GT</x:v>
      </x:c>
      <x:c r="K4" s="18" t="str">
        <x:v>none</x:v>
      </x:c>
      <x:c r="L4" s="18" t="str">
        <x:v>expensive refinery value concentrated in high-octane fraction</x:v>
      </x:c>
      <x:c r="M4" s="18" t="str">
        <x:v>DERIVED-WORKING</x:v>
      </x:c>
    </x:row>
    <x:row r="5">
      <x:c r="A5" s="18" t="str">
        <x:v>Commercial kerosene</x:v>
      </x:c>
      <x:c r="B5" s="18" t="str">
        <x:v>early GT air/ground</x:v>
      </x:c>
      <x:c r="C5" s="18" t="str">
        <x:v>current</x:v>
      </x:c>
      <x:c r="D5" s="56" t="n">
        <x:v>0.09</x:v>
      </x:c>
      <x:c r="E5" s="56" t="n">
        <x:v>0.11</x:v>
      </x:c>
      <x:c r="F5" s="56" t="n">
        <x:v>0.13</x:v>
      </x:c>
      <x:c r="G5" s="56" t="n">
        <x:v>0.8</x:v>
      </x:c>
      <x:c r="H5" s="74" t="n">
        <x:f>E5/G5</x:f>
        <x:v>0.13749999999999998</x:v>
      </x:c>
      <x:c r="I5" s="74" t="n">
        <x:f>E5/$E$4</x:f>
        <x:v>0.5499999999999999</x:v>
      </x:c>
      <x:c r="J5" s="18" t="str">
        <x:v>burnable; batch cold-flow/smoke/water variation</x:v>
      </x:c>
      <x:c r="K5" s="18" t="str">
        <x:v>filter, water control, cold screening</x:v>
      </x:c>
      <x:c r="L5" s="18" t="str">
        <x:v>usable immediately, but not yet a military aviation specification</x:v>
      </x:c>
      <x:c r="M5" s="18" t="str">
        <x:v>DERIVED-WORKING</x:v>
      </x:c>
    </x:row>
    <x:row r="6">
      <x:c r="A6" s="18" t="str">
        <x:v>Light gas-oil / diesel</x:v>
      </x:c>
      <x:c r="B6" s="18" t="str">
        <x:v>ground/marine GT</x:v>
      </x:c>
      <x:c r="C6" s="18" t="str">
        <x:v>current</x:v>
      </x:c>
      <x:c r="D6" s="56" t="n">
        <x:v>0.075</x:v>
      </x:c>
      <x:c r="E6" s="56" t="n">
        <x:v>0.09</x:v>
      </x:c>
      <x:c r="F6" s="56" t="n">
        <x:v>0.11</x:v>
      </x:c>
      <x:c r="G6" s="56" t="n">
        <x:v>0.84</x:v>
      </x:c>
      <x:c r="H6" s="74" t="n">
        <x:f>E6/G6</x:f>
        <x:v>0.10714285714285714</x:v>
      </x:c>
      <x:c r="I6" s="74" t="n">
        <x:f>E6/$E$4</x:f>
        <x:v>0.44999999999999996</x:v>
      </x:c>
      <x:c r="J6" s="18" t="str">
        <x:v>good for larger burners; worse cold/atomization/deposit behavior</x:v>
      </x:c>
      <x:c r="K6" s="18" t="str">
        <x:v>filter/water control; nozzle match</x:v>
      </x:c>
      <x:c r="L6" s="18" t="str">
        <x:v>cheap and widely useful, but aircraft use is conditional</x:v>
      </x:c>
      <x:c r="M6" s="18" t="str">
        <x:v>DERIVED-WORKING</x:v>
      </x:c>
    </x:row>
    <x:row r="7">
      <x:c r="A7" s="18" t="str">
        <x:v>GT-A aviation distillate</x:v>
      </x:c>
      <x:c r="B7" s="18" t="str">
        <x:v>TP / jet / fan</x:v>
      </x:c>
      <x:c r="C7" s="18" t="str">
        <x:v>joint spec 1933–35</x:v>
      </x:c>
      <x:c r="D7" s="56" t="n">
        <x:v>0.08</x:v>
      </x:c>
      <x:c r="E7" s="56" t="n">
        <x:v>0.095</x:v>
      </x:c>
      <x:c r="F7" s="56" t="n">
        <x:v>0.11</x:v>
      </x:c>
      <x:c r="G7" s="56" t="n">
        <x:v>0.8</x:v>
      </x:c>
      <x:c r="H7" s="74" t="n">
        <x:f>E7/G7</x:f>
        <x:v>0.11875</x:v>
      </x:c>
      <x:c r="I7" s="74" t="n">
        <x:f>E7/$E$4</x:f>
        <x:v>0.475</x:v>
      </x:c>
      <x:c r="J7" s="18" t="str">
        <x:v>kerosene-rich cut, controlled freezing/water/residue; no octane requirement</x:v>
      </x:c>
      <x:c r="K7" s="18" t="str">
        <x:v>define side-cut &amp; batch acceptance; crude/blend selection</x:v>
      </x:c>
      <x:c r="L7" s="18" t="str">
        <x:v>~half avgas price while keeping aviation handling acceptable</x:v>
      </x:c>
      <x:c r="M7" s="18" t="str">
        <x:v>DERIVED-WORKING</x:v>
      </x:c>
    </x:row>
    <x:row r="8">
      <x:c r="A8" s="18" t="str">
        <x:v>GT-M marine/ground distillate</x:v>
      </x:c>
      <x:c r="B8" s="18" t="str">
        <x:v>marine / stationary</x:v>
      </x:c>
      <x:c r="C8" s="18" t="str">
        <x:v>joint spec 1933–35</x:v>
      </x:c>
      <x:c r="D8" s="56" t="n">
        <x:v>0.06</x:v>
      </x:c>
      <x:c r="E8" s="56" t="n">
        <x:v>0.075</x:v>
      </x:c>
      <x:c r="F8" s="56" t="n">
        <x:v>0.09</x:v>
      </x:c>
      <x:c r="G8" s="56" t="n">
        <x:v>0.84</x:v>
      </x:c>
      <x:c r="H8" s="74" t="n">
        <x:f>E8/G8</x:f>
        <x:v>0.08928571428571429</x:v>
      </x:c>
      <x:c r="I8" s="74" t="n">
        <x:f>E8/$E$4</x:f>
        <x:v>0.37499999999999994</x:v>
      </x:c>
      <x:c r="J8" s="18" t="str">
        <x:v>broader light gas-oil cut; larger nozzles and low-temp start allowance</x:v>
      </x:c>
      <x:c r="K8" s="18" t="str">
        <x:v>broader side-cut; residue/water limits</x:v>
      </x:c>
      <x:c r="L8" s="18" t="str">
        <x:v>cheapest normal GT fuel; competes with diesel demand, not aviation gasoline</x:v>
      </x:c>
      <x:c r="M8" s="18" t="str">
        <x:v>DERIVED-WORKING</x:v>
      </x:c>
    </x:row>
    <x:row r="9">
      <x:c r="A9" s="18" t="str">
        <x:v>GT-L clean long-life distillate</x:v>
      </x:c>
      <x:c r="B9" s="18" t="str">
        <x:v>base-load / long cruise</x:v>
      </x:c>
      <x:c r="C9" s="18" t="str">
        <x:v>joint spec 1933–35</x:v>
      </x:c>
      <x:c r="D9" s="56" t="n">
        <x:v>0.07</x:v>
      </x:c>
      <x:c r="E9" s="56" t="n">
        <x:v>0.085</x:v>
      </x:c>
      <x:c r="F9" s="56" t="n">
        <x:v>0.1</x:v>
      </x:c>
      <x:c r="G9" s="56" t="n">
        <x:v>0.82</x:v>
      </x:c>
      <x:c r="H9" s="74" t="n">
        <x:f>E9/G9</x:f>
        <x:v>0.10365853658536586</x:v>
      </x:c>
      <x:c r="I9" s="74" t="n">
        <x:f>E9/$E$4</x:f>
        <x:v>0.425</x:v>
      </x:c>
      <x:c r="J9" s="18" t="str">
        <x:v>selected low-residue/clean cut to protect hot section/TBO</x:v>
      </x:c>
      <x:c r="K9" s="18" t="str">
        <x:v>tighter cleanliness/sulfur/residue acceptance</x:v>
      </x:c>
      <x:c r="L9" s="18" t="str">
        <x:v>slightly dearer than GT-M but can be cheaper over overhaul cycle</x:v>
      </x:c>
      <x:c r="M9" s="18" t="str">
        <x:v>DERIVED-WORKING</x:v>
      </x:c>
    </x:row>
    <x:row r="12">
      <x:c r="A12" s="70" t="str">
        <x:v>Industrial-base note</x:v>
      </x:c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</x:row>
    <x:row r="13">
      <x:c r="A13" t="str">
        <x:v>1930</x:v>
      </x:c>
      <x:c r="B13"/>
      <x:c r="C13"/>
      <x:c r="D13"/>
      <x:c r="E13"/>
      <x:c r="F13"/>
      <x:c r="G13"/>
      <x:c r="H13"/>
      <x:c r="I13"/>
      <x:c r="J13" s="18" t="str">
        <x:v>Modern two-stage pipe still + fractionation tower installed in Japan</x:v>
      </x:c>
      <x:c r="K13"/>
      <x:c r="L13" s="18" t="str">
        <x:v>supports deliberate side-cut specification</x:v>
      </x:c>
      <x:c r="M13" s="18" t="str">
        <x:v>HISTORICAL</x:v>
      </x:c>
    </x:row>
    <x:row r="14">
      <x:c r="A14" t="str">
        <x:v>1931–32</x:v>
      </x:c>
      <x:c r="B14"/>
      <x:c r="C14"/>
      <x:c r="D14"/>
      <x:c r="E14"/>
      <x:c r="F14"/>
      <x:c r="G14"/>
      <x:c r="H14"/>
      <x:c r="I14"/>
      <x:c r="J14" s="18" t="str">
        <x:v>vacuum units 1931; first domestically engineered continuous distillation unit 1932</x:v>
      </x:c>
      <x:c r="K14"/>
      <x:c r="L14" s="18" t="str">
        <x:v>joint cut control is already plausible in E4 period</x:v>
      </x:c>
      <x:c r="M14" s="18" t="str">
        <x:v>HISTORICAL</x:v>
      </x:c>
    </x:row>
    <x:row r="15">
      <x:c r="A15" t="str">
        <x:v>1934</x:v>
      </x:c>
      <x:c r="B15"/>
      <x:c r="C15"/>
      <x:c r="D15"/>
      <x:c r="E15"/>
      <x:c r="F15"/>
      <x:c r="G15"/>
      <x:c r="H15"/>
      <x:c r="I15"/>
      <x:c r="J15" t="str">
        <x:v>Oil Industry Law promotes domestic refining and inventory control</x:v>
      </x:c>
      <x:c r="K15"/>
      <x:c r="L15" s="18" t="str">
        <x:v>military/industrial contract standardization gets institutionally easier</x:v>
      </x:c>
      <x:c r="M15" s="18" t="str">
        <x:v>HISTORICAL</x:v>
      </x:c>
    </x:row>
    <x:row r="17">
      <x:c r="A17" s="77" t="str">
        <x:v>Sources: https://www.jstage.jst.go.jp/article/jpi1959/10/0/10_0_83/_pdf ; https://www.eneos.co.jp/binran/document/part01/chapter02/section03.html ; https://www.jgc.com/jp/90th/1928.html</x:v>
      </x:c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</x:row>
  </x:sheetData>
  <x:mergeCells>
    <x:mergeCell ref="A1:M1"/>
    <x:mergeCell ref="A12:M12"/>
    <x:mergeCell ref="A17:M1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5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6" hidden="0" customWidth="1"/>
    <x:col min="13" max="13" width="34" hidden="0" customWidth="1"/>
    <x:col min="14" max="14" width="16" hidden="0" customWidth="1"/>
    <x:col min="15" max="15" width="14" hidden="0" customWidth="1"/>
    <x:col min="16" max="16" width="54" hidden="0" customWidth="1"/>
  </x:cols>
  <x:sheetData>
    <x:row r="1" ht="26" customHeight="1">
      <x:c r="A1" s="49" t="str">
        <x:v>Fuel-Cost Comparison — price effect only; logistics mass/volume shown separately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</x:row>
    <x:row r="3">
      <x:c r="A3" s="53" t="str">
        <x:v>Case</x:v>
      </x:c>
      <x:c r="B3" s="53" t="str">
        <x:v>Power / thrust</x:v>
      </x:c>
      <x:c r="C3" s="53" t="str">
        <x:v>SFC</x:v>
      </x:c>
      <x:c r="D3" s="53" t="str">
        <x:v>SFC unit</x:v>
      </x:c>
      <x:c r="E3" s="53" t="str">
        <x:v>Fuel</x:v>
      </x:c>
      <x:c r="F3" s="53" t="str">
        <x:v>Fuel density</x:v>
      </x:c>
      <x:c r="G3" s="53" t="str">
        <x:v>Fuel ¥/L</x:v>
      </x:c>
      <x:c r="H3" s="53" t="str">
        <x:v>Fuel kg/h</x:v>
      </x:c>
      <x:c r="I3" s="53" t="str">
        <x:v>Fuel L/h</x:v>
      </x:c>
      <x:c r="J3" s="53" t="str">
        <x:v>Fuel ¥/h</x:v>
      </x:c>
      <x:c r="K3" s="53" t="str">
        <x:v>Useful output basis</x:v>
      </x:c>
      <x:c r="L3" s="53" t="str">
        <x:v>¥/output-hour</x:v>
      </x:c>
      <x:c r="M3" s="53" t="str">
        <x:v>Comparable case</x:v>
      </x:c>
      <x:c r="N3" s="53" t="str">
        <x:v>Comparable fuel ¥/h</x:v>
      </x:c>
      <x:c r="O3" s="53" t="str">
        <x:v>¥ saving</x:v>
      </x:c>
      <x:c r="P3" s="53" t="str">
        <x:v>Interpretation</x:v>
      </x:c>
    </x:row>
    <x:row r="4">
      <x:c r="A4" s="18" t="str">
        <x:v>E4-TP normal</x:v>
      </x:c>
      <x:c r="B4" s="80" t="n">
        <x:v>630</x:v>
      </x:c>
      <x:c r="C4" s="80" t="n">
        <x:v>0.4153548283458925</x:v>
      </x:c>
      <x:c r="D4" s="80" t="str">
        <x:v>kg/(hp·h)</x:v>
      </x:c>
      <x:c r="E4" s="80" t="str">
        <x:v>GT-A aviation distillate</x:v>
      </x:c>
      <x:c r="F4" s="80" t="n">
        <x:v>0.8</x:v>
      </x:c>
      <x:c r="G4" s="80" t="n">
        <x:v>0.095</x:v>
      </x:c>
      <x:c r="H4" s="81" t="n">
        <x:f>B4*C4</x:f>
        <x:v>261.67354185791226</x:v>
      </x:c>
      <x:c r="I4" s="81" t="n">
        <x:f>H4/F4</x:f>
        <x:v>327.0919273223903</x:v>
      </x:c>
      <x:c r="J4" s="81" t="n">
        <x:f>I4*G4</x:f>
        <x:v>31.073733095627077</x:v>
      </x:c>
      <x:c r="K4" s="81" t="str">
        <x:v>hp</x:v>
      </x:c>
      <x:c r="L4" s="81" t="n">
        <x:f>J4/B4</x:f>
        <x:v>0.04932338586607472</x:v>
      </x:c>
      <x:c r="M4" s="81" t="str">
        <x:v>600 hp piston / avgas</x:v>
      </x:c>
      <x:c r="N4" s="81" t="n">
        <x:f>600*'09_COST_ASSUMPTIONS'!C17/'09_COST_ASSUMPTIONS'!C16*'09_COST_ASSUMPTIONS'!C8</x:f>
        <x:v>41.66666666666667</x:v>
      </x:c>
      <x:c r="O4" s="81" t="n">
        <x:f>IF(N4="","",N4-J4)</x:f>
        <x:v>10.592933571039595</x:v>
      </x:c>
      <x:c r="P4" s="18" t="str">
        <x:v>TP burns more kg fuel, but cheaper middle-distillate can make ¥/h lower</x:v>
      </x:c>
    </x:row>
    <x:row r="5">
      <x:c r="A5" s="18" t="str">
        <x:v>E4-J high</x:v>
      </x:c>
      <x:c r="B5" s="80" t="n">
        <x:v>315</x:v>
      </x:c>
      <x:c r="C5" s="80" t="n">
        <x:v>1.08</x:v>
      </x:c>
      <x:c r="D5" s="80" t="str">
        <x:v>kg/(kgf·h)</x:v>
      </x:c>
      <x:c r="E5" s="80" t="str">
        <x:v>GT-A aviation distillate</x:v>
      </x:c>
      <x:c r="F5" s="80" t="n">
        <x:v>0.8</x:v>
      </x:c>
      <x:c r="G5" s="80" t="n">
        <x:v>0.095</x:v>
      </x:c>
      <x:c r="H5" s="81" t="n">
        <x:f>B5*C5</x:f>
        <x:v>340.20000000000005</x:v>
      </x:c>
      <x:c r="I5" s="81" t="n">
        <x:f>H5/F5</x:f>
        <x:v>425.25000000000006</x:v>
      </x:c>
      <x:c r="J5" s="81" t="n">
        <x:f>I5*G5</x:f>
        <x:v>40.39875000000001</x:v>
      </x:c>
      <x:c r="K5" s="81" t="str">
        <x:v>kgf</x:v>
      </x:c>
      <x:c r="L5" s="81" t="n">
        <x:f>J5/B5</x:f>
        <x:v>0.12825000000000003</x:v>
      </x:c>
      <x:c r="M5" s="81" t="str">
        <x:v>not directly power-equivalent; compare mission</x:v>
      </x:c>
      <x:c r="N5" s="81"/>
      <x:c r="O5" s="81" t="str">
        <x:f>IF(N5="","",N5-J5)</x:f>
      </x:c>
      <x:c r="P5" s="18" t="str">
        <x:v>purchase/fuel price not fatal; range and fuel mass remain the main issue</x:v>
      </x:c>
    </x:row>
    <x:row r="6">
      <x:c r="A6" s="18" t="str">
        <x:v>E5-TP normal</x:v>
      </x:c>
      <x:c r="B6" s="80" t="n">
        <x:v>952</x:v>
      </x:c>
      <x:c r="C6" s="80" t="n">
        <x:v>0.33034504301118556</x:v>
      </x:c>
      <x:c r="D6" s="80" t="str">
        <x:v>kg/(hp·h)</x:v>
      </x:c>
      <x:c r="E6" s="80" t="str">
        <x:v>GT-A aviation distillate</x:v>
      </x:c>
      <x:c r="F6" s="80" t="n">
        <x:v>0.8</x:v>
      </x:c>
      <x:c r="G6" s="80" t="n">
        <x:v>0.095</x:v>
      </x:c>
      <x:c r="H6" s="81" t="n">
        <x:f>B6*C6</x:f>
        <x:v>314.4884809466487</x:v>
      </x:c>
      <x:c r="I6" s="81" t="n">
        <x:f>H6/F6</x:f>
        <x:v>393.11060118331085</x:v>
      </x:c>
      <x:c r="J6" s="81" t="n">
        <x:f>I6*G6</x:f>
        <x:v>37.34550711241453</x:v>
      </x:c>
      <x:c r="K6" s="81" t="str">
        <x:v>hp</x:v>
      </x:c>
      <x:c r="L6" s="81" t="n">
        <x:f>J6/B6</x:f>
        <x:v>0.039228473857578286</x:v>
      </x:c>
      <x:c r="M6" s="81" t="str">
        <x:v>950 hp piston / avgas</x:v>
      </x:c>
      <x:c r="N6" s="81" t="n">
        <x:f>950*'09_COST_ASSUMPTIONS'!C18/'09_COST_ASSUMPTIONS'!C16*'09_COST_ASSUMPTIONS'!C8</x:f>
        <x:v>63.33333333333334</x:v>
      </x:c>
      <x:c r="O6" s="81" t="n">
        <x:f>IF(N6="","",N6-J6)</x:f>
        <x:v>25.987826220918812</x:v>
      </x:c>
      <x:c r="P6" s="18" t="str">
        <x:v>financial fuel advantage becomes substantial despite poorer mass efficiency</x:v>
      </x:c>
    </x:row>
    <x:row r="7">
      <x:c r="A7" s="18" t="str">
        <x:v>E5-J high</x:v>
      </x:c>
      <x:c r="B7" s="80" t="n">
        <x:v>450</x:v>
      </x:c>
      <x:c r="C7" s="80" t="n">
        <x:v>1.02</x:v>
      </x:c>
      <x:c r="D7" s="80" t="str">
        <x:v>kg/(kgf·h)</x:v>
      </x:c>
      <x:c r="E7" s="80" t="str">
        <x:v>GT-A aviation distillate</x:v>
      </x:c>
      <x:c r="F7" s="80" t="n">
        <x:v>0.8</x:v>
      </x:c>
      <x:c r="G7" s="80" t="n">
        <x:v>0.095</x:v>
      </x:c>
      <x:c r="H7" s="81" t="n">
        <x:f>B7*C7</x:f>
        <x:v>459</x:v>
      </x:c>
      <x:c r="I7" s="81" t="n">
        <x:f>H7/F7</x:f>
        <x:v>573.75</x:v>
      </x:c>
      <x:c r="J7" s="81" t="n">
        <x:f>I7*G7</x:f>
        <x:v>54.50625</x:v>
      </x:c>
      <x:c r="K7" s="81" t="str">
        <x:v>kgf</x:v>
      </x:c>
      <x:c r="L7" s="81" t="n">
        <x:f>J7/B7</x:f>
        <x:v>0.121125</x:v>
      </x:c>
      <x:c r="M7" s="81" t="str">
        <x:v>not directly power-equivalent; compare mission</x:v>
      </x:c>
      <x:c r="N7" s="81"/>
      <x:c r="O7" s="81" t="str">
        <x:f>IF(N7="","",N7-J7)</x:f>
      </x:c>
      <x:c r="P7" s="18" t="str">
        <x:v>cheap fuel softens operating cost, but fuel load/range still hurts</x:v>
      </x:c>
    </x:row>
    <x:row r="8">
      <x:c r="A8" s="18" t="str">
        <x:v>E5-AF equal-thrust basis</x:v>
      </x:c>
      <x:c r="B8" s="80" t="n">
        <x:v>450</x:v>
      </x:c>
      <x:c r="C8" s="80" t="n">
        <x:v>0.88</x:v>
      </x:c>
      <x:c r="D8" s="80" t="str">
        <x:v>kg/(kgf·h)</x:v>
      </x:c>
      <x:c r="E8" s="80" t="str">
        <x:v>GT-A aviation distillate</x:v>
      </x:c>
      <x:c r="F8" s="80" t="n">
        <x:v>0.8</x:v>
      </x:c>
      <x:c r="G8" s="80" t="n">
        <x:v>0.095</x:v>
      </x:c>
      <x:c r="H8" s="81" t="n">
        <x:f>B8*C8</x:f>
        <x:v>396</x:v>
      </x:c>
      <x:c r="I8" s="81" t="n">
        <x:f>H8/F8</x:f>
        <x:v>495</x:v>
      </x:c>
      <x:c r="J8" s="81" t="n">
        <x:f>I8*G8</x:f>
        <x:v>47.025</x:v>
      </x:c>
      <x:c r="K8" s="81" t="str">
        <x:v>kgf</x:v>
      </x:c>
      <x:c r="L8" s="81" t="n">
        <x:f>J8/B8</x:f>
        <x:v>0.1045</x:v>
      </x:c>
      <x:c r="M8" s="81" t="str">
        <x:v>E5-J equal 450 kgf</x:v>
      </x:c>
      <x:c r="N8" s="81" t="n">
        <x:f>450*1.02/0.80*0.095</x:f>
        <x:v>54.50625</x:v>
      </x:c>
      <x:c r="O8" s="81" t="n">
        <x:f>IF(N8="","",N8-J8)</x:f>
        <x:v>7.481250000000003</x:v>
      </x:c>
      <x:c r="P8" s="18" t="str">
        <x:v>fan's fuel advantage should be judged at equal required thrust, not at max-thrust liters/hour</x:v>
      </x:c>
    </x:row>
    <x:row r="9">
      <x:c r="A9" s="18" t="str">
        <x:v>E4-GR continuous</x:v>
      </x:c>
      <x:c r="B9" s="80" t="n">
        <x:v>438</x:v>
      </x:c>
      <x:c r="C9" s="80" t="n">
        <x:v>0.433</x:v>
      </x:c>
      <x:c r="D9" s="80" t="str">
        <x:v>kg/kWh</x:v>
      </x:c>
      <x:c r="E9" s="80" t="str">
        <x:v>GT-L clean long-life</x:v>
      </x:c>
      <x:c r="F9" s="80" t="n">
        <x:v>0.82</x:v>
      </x:c>
      <x:c r="G9" s="80" t="n">
        <x:v>0.085</x:v>
      </x:c>
      <x:c r="H9" s="81" t="n">
        <x:f>B9*C9</x:f>
        <x:v>189.654</x:v>
      </x:c>
      <x:c r="I9" s="81" t="n">
        <x:f>H9/F9</x:f>
        <x:v>231.28536585365853</x:v>
      </x:c>
      <x:c r="J9" s="81" t="n">
        <x:f>I9*G9</x:f>
        <x:v>19.659256097560977</x:v>
      </x:c>
      <x:c r="K9" s="81" t="str">
        <x:v>kWh</x:v>
      </x:c>
      <x:c r="L9" s="81" t="n">
        <x:f>J9/B9</x:f>
        <x:v>0.04488414634146342</x:v>
      </x:c>
      <x:c r="M9" s="81" t="str">
        <x:v>period diesel ~0.22 kg/kWh on GT-M/diesel</x:v>
      </x:c>
      <x:c r="N9" s="81" t="n">
        <x:f>438*0.22/0.84*0.075</x:f>
        <x:v>8.60357142857143</x:v>
      </x:c>
      <x:c r="O9" s="81" t="n">
        <x:f>IF(N9="","",N9-J9)</x:f>
        <x:v>-11.055684668989548</x:v>
      </x:c>
      <x:c r="P9" s="18" t="str">
        <x:v>GT still loses base-load fuel cost per kWh; regeneration narrows but does not erase gap</x:v>
      </x:c>
    </x:row>
    <x:row r="10">
      <x:c r="A10" s="18" t="str">
        <x:v>E5-GC continuous</x:v>
      </x:c>
      <x:c r="B10" s="80" t="n">
        <x:v>630</x:v>
      </x:c>
      <x:c r="C10" s="80" t="n">
        <x:v>0.447</x:v>
      </x:c>
      <x:c r="D10" s="80" t="str">
        <x:v>kg/kWh</x:v>
      </x:c>
      <x:c r="E10" s="80" t="str">
        <x:v>GT-L clean long-life</x:v>
      </x:c>
      <x:c r="F10" s="80" t="n">
        <x:v>0.82</x:v>
      </x:c>
      <x:c r="G10" s="80" t="n">
        <x:v>0.085</x:v>
      </x:c>
      <x:c r="H10" s="81" t="n">
        <x:f>B10*C10</x:f>
        <x:v>281.61</x:v>
      </x:c>
      <x:c r="I10" s="81" t="n">
        <x:f>H10/F10</x:f>
        <x:v>343.4268292682927</x:v>
      </x:c>
      <x:c r="J10" s="81" t="n">
        <x:f>I10*G10</x:f>
        <x:v>29.19128048780488</x:v>
      </x:c>
      <x:c r="K10" s="81" t="str">
        <x:v>kWh</x:v>
      </x:c>
      <x:c r="L10" s="81" t="n">
        <x:f>J10/B10</x:f>
        <x:v>0.04633536585365854</x:v>
      </x:c>
      <x:c r="M10" s="81" t="str">
        <x:v>period diesel ~0.21 kg/kWh on GT-M/diesel</x:v>
      </x:c>
      <x:c r="N10" s="81" t="n">
        <x:f>630*0.21/0.84*0.075</x:f>
        <x:v>11.812499999999998</x:v>
      </x:c>
      <x:c r="O10" s="81" t="n">
        <x:f>IF(N10="","",N10-J10)</x:f>
        <x:v>-17.37878048780488</x:v>
      </x:c>
      <x:c r="P10" s="18" t="str">
        <x:v>ground/marine GT case is compactness, start, commonality and maintenance—not fuel economy alone</x:v>
      </x:c>
    </x:row>
  </x:sheetData>
  <x:mergeCells>
    <x:mergeCell ref="A1:P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5" hidden="0" customWidth="1"/>
    <x:col min="4" max="4" width="45" hidden="0" customWidth="1"/>
    <x:col min="5" max="5" width="52" hidden="0" customWidth="1"/>
    <x:col min="6" max="6" width="50" hidden="0" customWidth="1"/>
    <x:col min="7" max="7" width="14" hidden="0" customWidth="1"/>
    <x:col min="8" max="8" width="48" hidden="0" customWidth="1"/>
    <x:col min="9" max="9" width="48" hidden="0" customWidth="1"/>
    <x:col min="10" max="10" width="45" hidden="0" customWidth="1"/>
  </x:cols>
  <x:sheetData>
    <x:row r="1" ht="26" customHeight="1">
      <x:c r="A1" s="49" t="str">
        <x:v>Submission Summary — E4/E5 GT acquisition &amp; fuel economics</x:v>
      </x:c>
      <x:c r="B1" s="49"/>
      <x:c r="C1" s="49"/>
      <x:c r="D1" s="49"/>
      <x:c r="E1" s="49"/>
      <x:c r="F1" s="49"/>
      <x:c r="G1" s="49"/>
      <x:c r="H1" s="49"/>
      <x:c r="I1" s="49"/>
      <x:c r="J1" s="49"/>
    </x:row>
    <x:row r="3">
      <x:c r="A3" s="53" t="str">
        <x:v>Question</x:v>
      </x:c>
      <x:c r="B3" s="53" t="str">
        <x:v>Finding</x:v>
      </x:c>
      <x:c r="C3" s="53" t="str">
        <x:v>E4 reading</x:v>
      </x:c>
      <x:c r="D3" s="53" t="str">
        <x:v>E5 reading</x:v>
      </x:c>
      <x:c r="E3" s="53" t="str">
        <x:v>Military implication</x:v>
      </x:c>
      <x:c r="F3" s="53" t="str">
        <x:v>Asai action</x:v>
      </x:c>
      <x:c r="G3" s="53" t="str">
        <x:v>Confidence</x:v>
      </x:c>
      <x:c r="H3" s="53" t="str">
        <x:v>Do not overclaim</x:v>
      </x:c>
      <x:c r="I3" s="53" t="str">
        <x:v>Source / link</x:v>
      </x:c>
      <x:c r="J3" s="53" t="str">
        <x:v>Decision gate</x:v>
      </x:c>
    </x:row>
    <x:row r="4">
      <x:c r="A4" s="18" t="str">
        <x:v>Is GT engine hardware prohibitively expensive?</x:v>
      </x:c>
      <x:c r="B4" s="18" t="str">
        <x:v>No. Low-rate E4 is expensive, but shared-family mass production changes the answer.</x:v>
      </x:c>
      <x:c r="C4" s="18" t="str">
        <x:v>TP ~¥40–52k current vs 600–700 hp piston ~¥25–35k; pure ~¥30–40k.</x:v>
      </x:c>
      <x:c r="D4" s="18" t="str">
        <x:v>TP ~¥44–58k current, ~¥30k family-scale; pure ~¥23k family-scale.</x:v>
      </x:c>
      <x:c r="E4" s="18" t="str">
        <x:v>Do not reject GT on procurement price alone. E5 pure is likely cheaper than a 900–1000 hp high-grade piston engine at scale.</x:v>
      </x:c>
      <x:c r="F4" s="18" t="str">
        <x:v>Exploit common compressor/turbine/bearing/accessory production across ground, marine and aviation.</x:v>
      </x:c>
      <x:c r="G4" s="18" t="str">
        <x:v>medium</x:v>
      </x:c>
      <x:c r="H4" s="18" t="str">
        <x:v>Japanese piston procurement prices remain a derived band, not a directly sourced quote.</x:v>
      </x:c>
      <x:c r="I4" s="18" t="str">
        <x:v>Kestrel £2,051 (1934); US 1934 commercial-engine average ~$5,015.</x:v>
      </x:c>
      <x:c r="J4" s="18" t="str">
        <x:v>Obtain Army/Navy domestic piston quotes and replace comparator bands.</x:v>
      </x:c>
    </x:row>
    <x:row r="5">
      <x:c r="A5" s="18" t="str">
        <x:v>Which fuel should aircraft GT use?</x:v>
      </x:c>
      <x:c r="B5" s="18" t="str">
        <x:v>Kerosene-rich middle distillate.</x:v>
      </x:c>
      <x:c r="C5" s="18" t="str">
        <x:v>Commercial kerosene works immediately after filtration/cold screening.</x:v>
      </x:c>
      <x:c r="D5" s="18" t="str">
        <x:v>Joint GT-A cut should become normal fuel.</x:v>
      </x:c>
      <x:c r="E5" s="18" t="str">
        <x:v>~¥0.095/L base vs avgas ~¥0.20/L modeled; monetary fuel cost can be lower even when kg/h is higher.</x:v>
      </x:c>
      <x:c r="F5" s="18" t="str">
        <x:v>Set freezing point, water/sediment, residue, viscosity and batch acceptance; do not pay for octane.</x:v>
      </x:c>
      <x:c r="G5" s="18" t="str">
        <x:v>medium-high</x:v>
      </x:c>
      <x:c r="H5" s="18" t="str">
        <x:v>Cheap ¥/h does not solve aircraft fuel weight/volume or range.</x:v>
      </x:c>
      <x:c r="I5" s="18" t="str">
        <x:v>Japanese modern fractionation existed by 1930–32.</x:v>
      </x:c>
      <x:c r="J5" s="18" t="str">
        <x:v>Run joint refinery + altitude-combustor batch test campaign.</x:v>
      </x:c>
    </x:row>
    <x:row r="6">
      <x:c r="A6" s="18" t="str">
        <x:v>Which fuel for marine/ground GT?</x:v>
      </x:c>
      <x:c r="B6" s="18" t="str">
        <x:v>Light gas-oil / broader middle-distillate.</x:v>
      </x:c>
      <x:c r="C6" s="18" t="str">
        <x:v>Existing diesel/light gas-oil can be used with burner/nozzle limits.</x:v>
      </x:c>
      <x:c r="D6" s="18" t="str">
        <x:v>GT-M ~¥0.075/L base; GT-L clean cut ~¥0.085/L for long TBO.</x:v>
      </x:c>
      <x:c r="E6" s="18" t="str">
        <x:v>Fuel is cheap, but GT SFC is still much worse than diesel per kWh; base-load adoption needs another reason.</x:v>
      </x:c>
      <x:c r="F6" s="18" t="str">
        <x:v>Use derating/regeneration/clean fuel to buy overhaul interval; reserve GT for compactness, start, low vibration, shared logistics, boost.</x:v>
      </x:c>
      <x:c r="G6" s="18" t="str">
        <x:v>high</x:v>
      </x:c>
      <x:c r="H6" s="18" t="str">
        <x:v>Do not claim GT beats diesel on fuel economy in E4/E5.</x:v>
      </x:c>
      <x:c r="I6" s="18" t="str">
        <x:v>E4 regenerated authority SFC 0.433 kg/kWh; E5 working ~0.447 C.</x:v>
      </x:c>
      <x:c r="J6" s="18" t="str">
        <x:v>Close TBO and maintenance-cost audit before large base-load orders.</x:v>
      </x:c>
    </x:row>
    <x:row r="7">
      <x:c r="A7" s="18" t="str">
        <x:v>Is dedicated GT fuel industrially plausible this early?</x:v>
      </x:c>
      <x:c r="B7" s="18" t="str">
        <x:v>Yes, as a distillation-cut specification, not as a postwar synthetic/additive fuel.</x:v>
      </x:c>
      <x:c r="C7" s="18" t="str">
        <x:v>1930 pipe-still/fractionation; 1931 vacuum; 1932 domestic continuous distillation support E4 work.</x:v>
      </x:c>
      <x:c r="D7" s="18" t="str">
        <x:v>1934 petroleum-policy consolidation makes military bulk specifications easier.</x:v>
      </x:c>
      <x:c r="E7" s="18" t="str">
        <x:v>The fuel program can start before E5 and feed all three: aircraft, ships, stationary.</x:v>
      </x:c>
      <x:c r="F7" s="18" t="str">
        <x:v>Joint standard with one or two refiners; keep aviation and marine/ground grades related but not identical.</x:v>
      </x:c>
      <x:c r="G7" s="18" t="str">
        <x:v>high</x:v>
      </x:c>
      <x:c r="H7" s="18" t="str">
        <x:v>Sulfur/freezing performance still depends on crude selection and blending; do not assume modern hydrotreating.</x:v>
      </x:c>
      <x:c r="I7" s="18" t="str">
        <x:v>JPI refining history; ENEOS petroleum-industry history.</x:v>
      </x:c>
      <x:c r="J7" s="18" t="str">
        <x:v>1933–34 pilot lots, 1934–35 regular military contract if tests pass.</x:v>
      </x:c>
    </x:row>
    <x:row r="10">
      <x:c r="A10" s="70" t="str">
        <x:v>Recommended military reading</x:v>
      </x:c>
      <x:c r="B10" s="70"/>
      <x:c r="C10" s="70"/>
      <x:c r="D10" s="70"/>
      <x:c r="E10" s="70"/>
      <x:c r="F10" s="70"/>
      <x:c r="G10" s="70"/>
      <x:c r="H10" s="70"/>
      <x:c r="I10" s="70"/>
      <x:c r="J10" s="70"/>
    </x:row>
    <x:row r="11">
      <x:c r="A11" s="83" t="str">
        <x:v>E4 aviation</x:v>
      </x:c>
      <x:c r="B11" s="84" t="str">
        <x:v>Buy a small joint evaluation batch.</x:v>
      </x:c>
      <x:c r="C11" s="84" t="str">
        <x:v>Reason: speed/low vibration already justify spending; engine price premium is tolerable for a test fleet.</x:v>
      </x:c>
      <x:c r="D11" s="84"/>
      <x:c r="E11" s="84"/>
      <x:c r="F11" s="84"/>
      <x:c r="G11" s="84"/>
      <x:c r="H11" s="84"/>
      <x:c r="I11" s="84"/>
      <x:c r="J11" s="84"/>
    </x:row>
    <x:row r="12">
      <x:c r="A12" s="83" t="str">
        <x:v>E5 TP</x:v>
      </x:c>
      <x:c r="B12" s="84" t="str">
        <x:v>Serious procurement candidate.</x:v>
      </x:c>
      <x:c r="C12" s="84" t="str">
        <x:v>At ordinary production it approaches piston-engine acquisition cost while using much cheaper distillate; range/field performance are strong.</x:v>
      </x:c>
      <x:c r="D12" s="84"/>
      <x:c r="E12" s="84"/>
      <x:c r="F12" s="84"/>
      <x:c r="G12" s="84"/>
      <x:c r="H12" s="84"/>
      <x:c r="I12" s="84"/>
      <x:c r="J12" s="84"/>
    </x:row>
    <x:row r="13">
      <x:c r="A13" s="83" t="str">
        <x:v>E5 pure jet</x:v>
      </x:c>
      <x:c r="B13" s="84" t="str">
        <x:v>Serious high-speed/recon candidate.</x:v>
      </x:c>
      <x:c r="C13" s="84" t="str">
        <x:v>At family-scale the engine itself may be cheaper than high-output piston competition; fuel mass/range/TBO remain the real constraints.</x:v>
      </x:c>
      <x:c r="D13" s="84"/>
      <x:c r="E13" s="84"/>
      <x:c r="F13" s="84"/>
      <x:c r="G13" s="84"/>
      <x:c r="H13" s="84"/>
      <x:c r="I13" s="84"/>
      <x:c r="J13" s="84"/>
    </x:row>
    <x:row r="14">
      <x:c r="A14" s="83" t="str">
        <x:v>E5 aft-fan</x:v>
      </x:c>
      <x:c r="B14" s="84" t="str">
        <x:v>Keep as package audit until mission economics close.</x:v>
      </x:c>
      <x:c r="C14" s="84" t="str">
        <x:v>It costs more than pure; approve only if equal-mission fuel/range/takeoff benefits repay the extra fan hardware.</x:v>
      </x:c>
      <x:c r="D14" s="84"/>
      <x:c r="E14" s="84"/>
      <x:c r="F14" s="84"/>
      <x:c r="G14" s="84"/>
      <x:c r="H14" s="84"/>
      <x:c r="I14" s="84"/>
      <x:c r="J14" s="84"/>
    </x:row>
  </x:sheetData>
  <x:mergeCells>
    <x:mergeCell ref="A1:J1"/>
    <x:mergeCell ref="A10:J10"/>
    <x:mergeCell ref="B11:J11"/>
    <x:mergeCell ref="B12:J12"/>
    <x:mergeCell ref="B13:J13"/>
    <x:mergeCell ref="B14:J14"/>
  </x:mergeCells>
  <x:pageMargins left="0.7" right="0.7" top="0.75" bottom="0.75" header="0.3" footer="0.3"/>
</x:worksheet>
</file>